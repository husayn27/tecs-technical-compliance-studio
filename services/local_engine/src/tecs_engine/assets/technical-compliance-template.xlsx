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1" sheetId="1" state="visible" r:id="rId3"/>
    <sheet name="MASTER-2" sheetId="2" state="visible" r:id="rId4"/>
    <sheet name="F1, F1E" sheetId="3" state="visible" r:id="rId5"/>
    <sheet name="F2, F2E" sheetId="4" state="visible" r:id="rId6"/>
    <sheet name="D1, D1E" sheetId="5" state="visible" r:id="rId7"/>
    <sheet name="D2, D2E" sheetId="6" state="visible" r:id="rId8"/>
    <sheet name="WL1" sheetId="7" state="visible" r:id="rId9"/>
    <sheet name="L01" sheetId="8" state="visible" r:id="rId10"/>
    <sheet name="GL14, GL14E" sheetId="9" state="visible" r:id="rId11"/>
  </sheets>
  <definedNames>
    <definedName function="false" hidden="true" localSheetId="0" name="_xlnm._FilterDatabase" vbProcedure="false">'MASTER-1'!$A$1:$S$21</definedName>
    <definedName function="false" hidden="false" localSheetId="1" name="_xlnm.Print_Area" vbProcedure="false">'MASTER-2'!$A$1:$V$15</definedName>
    <definedName function="false" hidden="true" localSheetId="1" name="_xlnm._FilterDatabase" vbProcedure="false">'MASTER-2'!$A$7:$U$15</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<sst xmlns="http://schemas.openxmlformats.org/spreadsheetml/2006/main" count="814" uniqueCount="216">
  <si>
    <t xml:space="preserve">S. No</t>
  </si>
  <si>
    <t xml:space="preserve">Type</t>
  </si>
  <si>
    <t xml:space="preserve">Specified</t>
  </si>
  <si>
    <t xml:space="preserve">Make</t>
  </si>
  <si>
    <t xml:space="preserve">Country Of Orgin</t>
  </si>
  <si>
    <t xml:space="preserve">Model No</t>
  </si>
  <si>
    <t xml:space="preserve">Mounting </t>
  </si>
  <si>
    <t xml:space="preserve">Housing / Construction </t>
  </si>
  <si>
    <t xml:space="preserve">Refelector / Optical System </t>
  </si>
  <si>
    <t xml:space="preserve">Control Gear / Ballast</t>
  </si>
  <si>
    <t xml:space="preserve">Lamp / Lumen / Color Temp / Efficacy </t>
  </si>
  <si>
    <t xml:space="preserve">Emergency</t>
  </si>
  <si>
    <t xml:space="preserve">CRI</t>
  </si>
  <si>
    <t xml:space="preserve">LED life</t>
  </si>
  <si>
    <t xml:space="preserve">IP Rating / IK Rating </t>
  </si>
  <si>
    <t xml:space="preserve">UGR</t>
  </si>
  <si>
    <t xml:space="preserve">Finish</t>
  </si>
  <si>
    <t xml:space="preserve">Location</t>
  </si>
  <si>
    <t xml:space="preserve">Remarks</t>
  </si>
  <si>
    <t xml:space="preserve">Main Building </t>
  </si>
  <si>
    <t xml:space="preserve">A1</t>
  </si>
  <si>
    <t xml:space="preserve">Ip44, A Square Ceiling Recessed Led Luminaire. Fixed Output Led Driver. Luminaire Input Power: 26W, . Luminaire Luminous Flux: 3200 Lm, Colour Rendering Ra &gt; 80, Colour Temperature 4000 K. Dimensions: 596X596X34Mm</t>
  </si>
  <si>
    <t xml:space="preserve">-</t>
  </si>
  <si>
    <t xml:space="preserve">Recessed</t>
  </si>
  <si>
    <t xml:space="preserve">Poly Carbonate Housing In White</t>
  </si>
  <si>
    <t xml:space="preserve">Square Lens Optic For Glare-Free Light Distribution </t>
  </si>
  <si>
    <t xml:space="preserve">Electronic Ballast</t>
  </si>
  <si>
    <t xml:space="preserve">36W LED / 4300lm / 4000K or 5000K / 135Lm/W</t>
  </si>
  <si>
    <t xml:space="preserve">3hrs Battery backup for "E" Version</t>
  </si>
  <si>
    <t xml:space="preserve">UGR&lt;19</t>
  </si>
  <si>
    <t xml:space="preserve">White</t>
  </si>
  <si>
    <t xml:space="preserve">Office</t>
  </si>
  <si>
    <t xml:space="preserve">A1E</t>
  </si>
  <si>
    <t xml:space="preserve">Powder Coated Sheet Steel Housing</t>
  </si>
  <si>
    <t xml:space="preserve">Mircor Prismatic  Diffuser</t>
  </si>
  <si>
    <t xml:space="preserve">37W LED / 3900lm / 5000K </t>
  </si>
  <si>
    <t xml:space="preserve">CRI 80</t>
  </si>
  <si>
    <t xml:space="preserve">L80B10 50000Hrs</t>
  </si>
  <si>
    <t xml:space="preserve">IP55 / IK05</t>
  </si>
  <si>
    <t xml:space="preserve">D1</t>
  </si>
  <si>
    <t xml:space="preserve">Ip54 (Ip20 From Above), A Recessed Led Downlight. Remote Fixed Output Control Gear. Luminaire Input Power: 17.1W, . Luminaire Luminous Flux: 1980 Lm, Colour Rendering Ra &gt; 80, Colour Temperature 4000 K. Dimensions: Ø172X94Mm</t>
  </si>
  <si>
    <t xml:space="preserve">D1E</t>
  </si>
  <si>
    <t xml:space="preserve">D2E</t>
  </si>
  <si>
    <t xml:space="preserve">Ip65, A Surface Mounted Led Luminaire. Fixed Output Led Driver. Luminaire Input Power: 16.3W, . Luminaire Luminous Flux: 1950 Lm, Colour Rendering Ra &gt; 80, Colour Temperature 4000 K. Dimensions: Ø307X58Mm</t>
  </si>
  <si>
    <t xml:space="preserve">Surface / Suspended</t>
  </si>
  <si>
    <t xml:space="preserve"> Body  In  Self‐ Extinguishing  Polycarbonate </t>
  </si>
  <si>
    <t xml:space="preserve">Opal Polycarbonate  Diffuser</t>
  </si>
  <si>
    <t xml:space="preserve">36W LED / 5400lm / 4000K / 150Lm/W</t>
  </si>
  <si>
    <t xml:space="preserve">IP65</t>
  </si>
  <si>
    <t xml:space="preserve">Electrical/Telecom/  Store  Room</t>
  </si>
  <si>
    <t xml:space="preserve">D3</t>
  </si>
  <si>
    <t xml:space="preserve">Ip54 (Ip20 From Above), A Recessed Led Downlight. Remote Fixed Output Control Gear. Luminaire Input Power: 8.8W, . Luminaire Luminous Flux: 1100 Lm, Colour Rendering Ra &gt; 80, Colour Temperature 4000 K. Dimensions: Ø172X94Mm</t>
  </si>
  <si>
    <t xml:space="preserve">D3E</t>
  </si>
  <si>
    <t xml:space="preserve">F2</t>
  </si>
  <si>
    <t xml:space="preserve">Ip66, Led Luminaire. Electronic, Fixed Output Control Gear. Luminaire Input Power: 52.7W, Luminaire Luminous Flux: 6870 Lm, Colour Rendering Ra &gt; 80, Colour Temperature 4000 K. Dimensions: 1600X92X90Mm</t>
  </si>
  <si>
    <t xml:space="preserve">46W LED / 7200lm / 4000K</t>
  </si>
  <si>
    <t xml:space="preserve">IP66 / Ik08</t>
  </si>
  <si>
    <t xml:space="preserve">Pharmacy,  Loading  Bay,  Cold Store,  Freezer  Area</t>
  </si>
  <si>
    <t xml:space="preserve">F2E</t>
  </si>
  <si>
    <t xml:space="preserve">L1</t>
  </si>
  <si>
    <t xml:space="preserve">Ip66, Led Luminaire. Luminaire Input Power: 6W, Luminaire Luminous Flux: 1029 Lm, Colour Rendering Ra &gt; 80, Colour Temperature 3000 K. Dimensions: 660X100X100Mm</t>
  </si>
  <si>
    <t xml:space="preserve">Surfaced</t>
  </si>
  <si>
    <t xml:space="preserve"> Poly Carbonate  Body</t>
  </si>
  <si>
    <t xml:space="preserve">Opal  Diffuser</t>
  </si>
  <si>
    <t xml:space="preserve">26W LED / 2500lm / 4000K</t>
  </si>
  <si>
    <t xml:space="preserve">Stair</t>
  </si>
  <si>
    <t xml:space="preserve">L1E</t>
  </si>
  <si>
    <t xml:space="preserve">Die-Cast Aluminium</t>
  </si>
  <si>
    <t xml:space="preserve">Mirror Brite Reflector</t>
  </si>
  <si>
    <t xml:space="preserve">7W LED / 800lm / 4000K</t>
  </si>
  <si>
    <t xml:space="preserve">IP54</t>
  </si>
  <si>
    <t xml:space="preserve">Toilet Cuble</t>
  </si>
  <si>
    <t xml:space="preserve">L2</t>
  </si>
  <si>
    <t xml:space="preserve">Ip66, Led Luminaire. Electronic, Fixed Output Control Gear. Luminaire Input Power: 35.2W, Luminaire Luminous Flux: 4530 Lm, Colour Rendering Ra &gt; 80, Colour Temperature 4000 K. Dimensions: 1100X92X90Mm</t>
  </si>
  <si>
    <t xml:space="preserve">L2E</t>
  </si>
  <si>
    <t xml:space="preserve"> Sand Blasted Die-Cast Aluminium</t>
  </si>
  <si>
    <t xml:space="preserve">10W LED / 1100lm / 4000K</t>
  </si>
  <si>
    <t xml:space="preserve">Toilet</t>
  </si>
  <si>
    <t xml:space="preserve">L3</t>
  </si>
  <si>
    <t xml:space="preserve">L3E</t>
  </si>
  <si>
    <t xml:space="preserve">Suspended</t>
  </si>
  <si>
    <t xml:space="preserve">Aluminium  Body</t>
  </si>
  <si>
    <t xml:space="preserve">Uv  Stabilized High  Efficiency  Pmma  Lenses</t>
  </si>
  <si>
    <t xml:space="preserve">253W LED / 33400lm / 4000K </t>
  </si>
  <si>
    <t xml:space="preserve">Ware House Racks</t>
  </si>
  <si>
    <t xml:space="preserve">L4</t>
  </si>
  <si>
    <t xml:space="preserve">Ip65, Led Pendant Luminaire. Dali Controllable Luminaire With Led Converter. Luminaire Input Power: 66.8W, Luminaire Luminous Flux: 10000 Lm, Colour Rendering Ra &gt; 80, Colour Temperature 4000 K. Dimensions: 1997X63X51Mm</t>
  </si>
  <si>
    <t xml:space="preserve">253W LED / 36000lm / 4000K </t>
  </si>
  <si>
    <t xml:space="preserve">Consolidation Area</t>
  </si>
  <si>
    <t xml:space="preserve">L4E</t>
  </si>
  <si>
    <t xml:space="preserve"> Uv  Stabilized High  Efficiency  Pmma  Lenses </t>
  </si>
  <si>
    <t xml:space="preserve">140W LED / 20,000lm / 4000K </t>
  </si>
  <si>
    <t xml:space="preserve">Fish Cold  Area</t>
  </si>
  <si>
    <t xml:space="preserve">WL1</t>
  </si>
  <si>
    <t xml:space="preserve">Ip65, Led Bulkhead Luminaire. Electronic, Fixed Output Control Gear. Luminaire Input Power: 16W, Colour Rendering Ra &gt; 80, Colour Temperature 4000 K. Dimensions: Ø340X155Mm</t>
  </si>
  <si>
    <t xml:space="preserve">25W LED / 2600lm / 4000K </t>
  </si>
  <si>
    <t xml:space="preserve">IP20</t>
  </si>
  <si>
    <t xml:space="preserve">Office Corridor</t>
  </si>
  <si>
    <t xml:space="preserve">WP</t>
  </si>
  <si>
    <t xml:space="preserve">PROJECT NAME</t>
  </si>
  <si>
    <t xml:space="preserve">PROPOSED NEW CAR SHOWROOM &amp; SERVICE CENTER 
Ferrari Workshop at Finaa Building Muscat Oman</t>
  </si>
  <si>
    <t xml:space="preserve">CLIENT </t>
  </si>
  <si>
    <t xml:space="preserve">ALFARDAN PROPERTIES</t>
  </si>
  <si>
    <t xml:space="preserve">CONSULTANT</t>
  </si>
  <si>
    <t xml:space="preserve">IBRAHIM JAIDHA Architect &amp; Engineers </t>
  </si>
  <si>
    <t xml:space="preserve">CONTRACTOR</t>
  </si>
  <si>
    <t xml:space="preserve">AL WADIKABIR CARPENTRY CO LLC </t>
  </si>
  <si>
    <t xml:space="preserve">Type </t>
  </si>
  <si>
    <t xml:space="preserve">Specified </t>
  </si>
  <si>
    <t xml:space="preserve">Proposed</t>
  </si>
  <si>
    <t xml:space="preserve">Comments </t>
  </si>
  <si>
    <t xml:space="preserve">F1, F1E</t>
  </si>
  <si>
    <t xml:space="preserve">Explosion-proof LED moisture-proof diffuser luminaire, ATEX zone 2/22 with IP66 protection rating and Impact strength: IK10. Luminaire input power: 8 W, electronic ballast with LED converter. Cover and basic diffuser made of impact-resistant polycarbonate, temperature- and UV-resistant, made as a single injection-moulded piece. LED service life lasts 100000 h before luminous flux is reduced to 85% of the initial value. Chromaticity tolerance (initial MacAdam): 3. Luminaire luminous flux: 1171 lm, Luminaire efficacy: 146 lm/W. Colour rendering Ra &gt; 80, colour temperature 4000 K. Luminaire with symmetric distribution (medium beam). Mounting via included V2A standard spring clips to ceilings or walls. Explosion protection is guaranteed in ambient temperature: -20°C to +45°C. The luminaire is suitable for use in Zone 2 and 22 hazardous areas according to FTZU 23 ATEX 0077 (ATEX type examination) and according to EN/IEC 60079-0:2018, EN/IEC 60079-15:2017 and EN 60079-31:2014 (Ex II 3G Ex nR IIC T6 Gc/ II 3D Ex tc IIIC T80°C Dc). Silicone-free luminaire. Protection class: SC1, 850°C glow-wire tested. Dimensions: 670 x 155 x 105 mm; weight: 1.76 kg.</t>
  </si>
  <si>
    <t xml:space="preserve">49w; 7690w; 159lm/w; 4000K; length 1610mm; surface mounted Ex-plosion proof linear weather proof light fixture with polyester resin body  and polycarbonate diffuser with rated IP66; IK10; zone -1,2,21,22 Ex db eb ib op is IIC T4 Gb</t>
  </si>
  <si>
    <t xml:space="preserve">Stahl</t>
  </si>
  <si>
    <t xml:space="preserve">India</t>
  </si>
  <si>
    <t xml:space="preserve">6002/4168-0201-152-1110-11 -8500</t>
  </si>
  <si>
    <t xml:space="preserve">Surface Mounted </t>
  </si>
  <si>
    <t xml:space="preserve">polyester resin body </t>
  </si>
  <si>
    <t xml:space="preserve">Polycarbonate diffuser</t>
  </si>
  <si>
    <t xml:space="preserve">LED Driver</t>
  </si>
  <si>
    <t xml:space="preserve">49w / 7690lm / 4000k / 159lm/w</t>
  </si>
  <si>
    <t xml:space="preserve">Emergency Kit </t>
  </si>
  <si>
    <t xml:space="preserve">L90 / 100000Hrs</t>
  </si>
  <si>
    <t xml:space="preserve">IP66 / IK10</t>
  </si>
  <si>
    <t xml:space="preserve">F2, F2E</t>
  </si>
  <si>
    <t xml:space="preserve">Tube Luminaire with ø 90 mm, Luminaire luminous flux: 5389 lm, Luminaire efficacy: 131 lm/W. Colour rendering Ra &gt; 80, colour temperature 4000 K. Luminaire input power: 41 W ; LED service life lasts 50000 h before luminous flux is reduced to 80% of the initial value. Chromaticity tolerance (initial MacAdam): 3. Suitable for ceiling mounting and horizontal or vertical wall mounting.  Housing of impact-resistant (IK08) polymethylmethacrylate (PMMA), satin, and end caps of polyamide (PA). Age-resistant silicon seal (SI). Gear tray of double coated sheet steel, white. Flexible mounting with stainless steel fixing clips. Electrical connection via cable gland with integrated pressure equalisation element and plug connection terminal. IFS/BRC-compliant.IPX9K. SC1. Glow-wire tested: PMMA 650°C. Dimensions: Ø90 x 1260 mm weight: 3.5 kg.</t>
  </si>
  <si>
    <t xml:space="preserve">39W; 5000lm; 4000K; 130lm/w; surface mounted tublar light fixture with acrylate housing material and cover materials with rated IP67; IK10; SDCM&lt;3; 50000hrs</t>
  </si>
  <si>
    <t xml:space="preserve">Philips</t>
  </si>
  <si>
    <t xml:space="preserve">China</t>
  </si>
  <si>
    <t xml:space="preserve">WT228C LED50S/840 PSU L1200 TW</t>
  </si>
  <si>
    <t xml:space="preserve">Acrylate housing material</t>
  </si>
  <si>
    <t xml:space="preserve">Acrylate diffuser</t>
  </si>
  <si>
    <t xml:space="preserve">39w / 5000lm / 4000k / 130lm/w</t>
  </si>
  <si>
    <t xml:space="preserve">ROP approved EM Kit / Tridonic, Austria</t>
  </si>
  <si>
    <t xml:space="preserve">L80 / 50000Hrs</t>
  </si>
  <si>
    <t xml:space="preserve">IP67 / IK10</t>
  </si>
  <si>
    <t xml:space="preserve">D1, D1E</t>
  </si>
  <si>
    <t xml:space="preserve">A high efficient and sustainable, surface mounted LED downlight. Fixed output LED driver with DC functionality, adjustable 50-100%, NFC configurable. Body: Die-cast aluminium. Diffuser: polycarbonate, smooth reflector in satinbrite finish with wide beam and additional ultrasonic welded clear polycarbonate cover IP54. Trim: high quality, highly reflective polycarbonate. Class I electrical, IP54_IP20. Installation plate to be fitted directly to ceiling, for mounting via BESA box or wire suspension use available accessory. Housing mounts to installation plate with twist and lock bayonet mechanism. Complete with 4000K LED
Dimensions: Ø125 x 126 mm Luminaire input power: 15.6 W Luminaire luminous flux: 1423 lm
Luminaire efficacy: 91 lm/W Weight: 1.19 kg</t>
  </si>
  <si>
    <t xml:space="preserve">19w; 2000lm; 4000k; 105lm/w; Dia 160mm; LED surface mounted light fixture with aluminium diecast body and gloss diffuser with rated IP20; IK04; 50000hrs@L70</t>
  </si>
  <si>
    <t xml:space="preserve">SM293C LED20/840
PSU WH</t>
  </si>
  <si>
    <t xml:space="preserve">Surface</t>
  </si>
  <si>
    <t xml:space="preserve">Aluminium diecast Body</t>
  </si>
  <si>
    <t xml:space="preserve">Golss Finish diffuser</t>
  </si>
  <si>
    <t xml:space="preserve">19w / 2000lm / 4000k / 105lm/w</t>
  </si>
  <si>
    <t xml:space="preserve">L70 / 50000Hrs</t>
  </si>
  <si>
    <t xml:space="preserve">IP20 / IK04</t>
  </si>
  <si>
    <t xml:space="preserve">D2, D2E</t>
  </si>
  <si>
    <t xml:space="preserve">A high efficient and sustainable, surface mounted LED downlight. Fixed output LED driver with DC functionality,adjustable 50-100%, NFC configurable. Body: Die-cast aluminium. Diffuser: polycarbonate, smooth reflector in satinbrite finish with wide beam and additional ultrasonicwelded clear polycarbonate cover IP54. Trim: high quality, highly reflective polycarbonate. Class I electrical,
IP54_IP20. Installation plate to be fitted directly to ceiling, for mounting via BESA box or wire suspension use available accessory. Electrical connection via 3/5 pole, push in, terminal block, Housing mounts to installation plate with twist and lock bayonet mechanism. Complete with 4000K LED Dimensions: Ø180 x 182 mm Luminaire input power: 16.5 W Luminaire luminous flux: 1922 lm Luminaire efficacy: 116 lm/W Weight: 2.67 kg</t>
  </si>
  <si>
    <t xml:space="preserve">19w; 2000lm; 4000k; 105lm/w; Dia 160mm; LED surface mounted light fixture with aluminium body and gloss diffuser with rated IP20; IK04; 50000hrs@L70</t>
  </si>
  <si>
    <t xml:space="preserve">20w; 2200lm; 4000k; dia 390mm; SDCM&lt;3;  surface mounted light fixture with polycarbonate body and diffuser with rated IP65;IK10 50000hrs @ L80</t>
  </si>
  <si>
    <t xml:space="preserve">WL140V LED20S/840 PSU WH</t>
  </si>
  <si>
    <t xml:space="preserve">Polycarbonate</t>
  </si>
  <si>
    <t xml:space="preserve">polycarbonate diffuser</t>
  </si>
  <si>
    <t xml:space="preserve">20w / 2200lm / 4000k / 110lm/w</t>
  </si>
  <si>
    <t xml:space="preserve">IP65 / IK08</t>
  </si>
  <si>
    <t xml:space="preserve">L01</t>
  </si>
  <si>
    <t xml:space="preserve">14w LED Strip Light with Aluminium Profile body and polycarbonate diffuser with rated IP20</t>
  </si>
  <si>
    <t xml:space="preserve">Tridonic</t>
  </si>
  <si>
    <t xml:space="preserve">Austria</t>
  </si>
  <si>
    <t xml:space="preserve">LED Strip Light + Aluminium Profile</t>
  </si>
  <si>
    <t xml:space="preserve">Surface / Cove Mounted</t>
  </si>
  <si>
    <t xml:space="preserve">Aluminium body</t>
  </si>
  <si>
    <t xml:space="preserve">14w / 1400lm / 4000k / 100lm/w</t>
  </si>
  <si>
    <t xml:space="preserve">IP44 / IK04</t>
  </si>
  <si>
    <t xml:space="preserve">GL14, GL14E</t>
  </si>
  <si>
    <t xml:space="preserve">Linear, energy-efficient continuous-row luminaire in silver with 64 highly efficient mid-power LEDs per segment. IP64 protection rating. Luminaire input power: 61.6 W, DALI controllable luminaire with LED converter. LED service life lasts 100000 h before luminous flux is reduced to 95% of the initial value. Chromaticity tolerance (initial MacAdam): 2. Luminaire efficacy: 169 lm/W. Luminaire luminous flux: 5200 lm/mtr. Luminaire with symmetric very wide distribution (very wide beam). Colour rendering Ra &gt; 80, colour temperature 4000 K. Split lens concept for reducing perceived glare. Overlapping lenses made of PMMA with high breakage resistance and UV resistance.  continuous row luminaire made of roll-formed, hot-dip galvanised sheet steel, with zinc-magnesium coating and polyester lacquer finish in silver. 100% flexible positioning of continuous row luminaires along the entire length of the continuous row. Tool-free mechanical and electrical installation on the mounting rail via two side levers. No ultraviolet or infrared radiation. Protection class: SC1. Permissible for use in environments where the deposition of conductive dust on the luminaire can be expected (EN 60598-2-24).</t>
  </si>
  <si>
    <t xml:space="preserve">2 x 41W; 2 x 4580lm; 4000K; 112lm/w; surface / suspended mounted light fixture with aluminium body and polycarbonate diffuser with rated IP20;IK03; LED Dali Driver</t>
  </si>
  <si>
    <t xml:space="preserve">2 x SP570P LED50/940 L150W6 SD PSD</t>
  </si>
  <si>
    <t xml:space="preserve">Surface / Suspended Mounted </t>
  </si>
  <si>
    <t xml:space="preserve">2 x 41w / 2 x 4580lm / 4000k / 112lm/w</t>
  </si>
  <si>
    <t xml:space="preserve">CRI 90</t>
  </si>
  <si>
    <t xml:space="preserve">IP20 / IK03</t>
  </si>
  <si>
    <t xml:space="preserve">PROJECT DETAILS</t>
  </si>
  <si>
    <t xml:space="preserve">AL WADIKABIR CARPENTARY CO LLC </t>
  </si>
  <si>
    <t xml:space="preserve">TECHNICAL DATA SHEET</t>
  </si>
  <si>
    <t xml:space="preserve">Fitting Type</t>
  </si>
  <si>
    <t xml:space="preserve">PARAMETER</t>
  </si>
  <si>
    <t xml:space="preserve">SPECIFIED</t>
  </si>
  <si>
    <t xml:space="preserve">PROPOSED </t>
  </si>
  <si>
    <t xml:space="preserve">REMARKS</t>
  </si>
  <si>
    <t xml:space="preserve">Description</t>
  </si>
  <si>
    <t xml:space="preserve">_</t>
  </si>
  <si>
    <t xml:space="preserve">Surface Mounted</t>
  </si>
  <si>
    <t xml:space="preserve">UV- and impact-resistant polycarbonate</t>
  </si>
  <si>
    <t xml:space="preserve">Polycarbonate Diffuser</t>
  </si>
  <si>
    <t xml:space="preserve">Led Driver</t>
  </si>
  <si>
    <t xml:space="preserve">8w / 1171lm / 4000K / 146lm/w</t>
  </si>
  <si>
    <t xml:space="preserve">Emergency kit </t>
  </si>
  <si>
    <t xml:space="preserve">L85 / 100,000hrs</t>
  </si>
  <si>
    <t xml:space="preserve">Light grey housing finish</t>
  </si>
  <si>
    <t xml:space="preserve">Satin impact-resistant PMMA with polyamide (PA) end caps</t>
  </si>
  <si>
    <t xml:space="preserve"> polymethyl methacrylate (PMMA)</t>
  </si>
  <si>
    <t xml:space="preserve">41w / 5389lm / 4000K / 131lm/w</t>
  </si>
  <si>
    <t xml:space="preserve">50,000 h (L80)</t>
  </si>
  <si>
    <t xml:space="preserve">IPX9K (high-pressure/high-temperature water jet resistant) / IK08</t>
  </si>
  <si>
    <t xml:space="preserve">Satin Finish</t>
  </si>
  <si>
    <t xml:space="preserve">Surface mounted LED Downlight </t>
  </si>
  <si>
    <t xml:space="preserve">Die cast aluminum body </t>
  </si>
  <si>
    <t xml:space="preserve">15.6w / 1423lm / 4000K / 91lm/w</t>
  </si>
  <si>
    <t xml:space="preserve">IP54 /IP20</t>
  </si>
  <si>
    <t xml:space="preserve">Powder coated Finish </t>
  </si>
  <si>
    <t xml:space="preserve">Surface </t>
  </si>
  <si>
    <t xml:space="preserve">Die cast Aluminum body</t>
  </si>
  <si>
    <t xml:space="preserve">16.5w /1922lm / 4000K / 116lm/w</t>
  </si>
  <si>
    <t xml:space="preserve">Polycarbonate body</t>
  </si>
  <si>
    <t xml:space="preserve">Polycarbonate Diffuser </t>
  </si>
  <si>
    <t xml:space="preserve">20w / 2200lm / 4000K</t>
  </si>
  <si>
    <t xml:space="preserve"> 50000hrs @ L80</t>
  </si>
  <si>
    <t xml:space="preserve">hot-dip galvanised steel</t>
  </si>
  <si>
    <t xml:space="preserve">Overlapping PMMA</t>
  </si>
  <si>
    <t xml:space="preserve">DALI controllable</t>
  </si>
  <si>
    <t xml:space="preserve">61w / 5200lm / 4000K / 169lm/w</t>
  </si>
  <si>
    <t xml:space="preserve">100,000 h (L95)</t>
  </si>
  <si>
    <t xml:space="preserve">IP64</t>
  </si>
  <si>
    <t xml:space="preserve">Silver Finish</t>
  </si>
</sst>
</file>

<file path=xl/styles.xml><?xml version="1.0" encoding="utf-8"?>
<styleSheet xmlns="http://schemas.openxmlformats.org/spreadsheetml/2006/main">
  <numFmts count="1">
    <numFmt numFmtId="164" formatCode="General"/>
  </numFmts>
  <fonts count="12">
    <font>
      <sz val="10"/>
      <name val="Arial"/>
      <family val="0"/>
    </font>
    <font>
      <sz val="10"/>
      <name val="Arial"/>
      <family val="0"/>
    </font>
    <font>
      <sz val="10"/>
      <name val="Arial"/>
      <family val="0"/>
    </font>
    <font>
      <sz val="10"/>
      <name val="Arial"/>
      <family val="0"/>
    </font>
    <font>
      <sz val="14"/>
      <name val="Arial"/>
      <family val="2"/>
    </font>
    <font>
      <sz val="12"/>
      <name val="Arial"/>
      <family val="2"/>
    </font>
    <font>
      <sz val="11.5"/>
      <color rgb="FF000000"/>
      <name val="Calibri"/>
      <family val="2"/>
    </font>
    <font>
      <b val="true"/>
      <sz val="16"/>
      <name val="Bookman Old Style"/>
      <family val="1"/>
    </font>
    <font>
      <b val="true"/>
      <sz val="14"/>
      <name val="Bookman Old Style"/>
      <family val="1"/>
    </font>
    <font>
      <sz val="10"/>
      <name val="Arial"/>
      <family val="2"/>
    </font>
    <font>
      <sz val="10"/>
      <name val="Bookman Old Style"/>
      <family val="1"/>
    </font>
    <font>
      <sz val="12"/>
      <name val="Bookman Old Style"/>
      <family val="1"/>
    </font>
  </fonts>
  <fills count="5">
    <fill>
      <patternFill patternType="none"/>
    </fill>
    <fill>
      <patternFill patternType="gray125"/>
    </fill>
    <fill>
      <patternFill patternType="solid">
        <fgColor rgb="FFFFFF00"/>
        <bgColor rgb="FFFFFF00"/>
      </patternFill>
    </fill>
    <fill>
      <patternFill patternType="solid">
        <fgColor rgb="FFC0C0C0"/>
        <bgColor rgb="FFCCCCFF"/>
      </patternFill>
    </fill>
    <fill>
      <patternFill patternType="solid">
        <fgColor rgb="FFFFFFFF"/>
        <bgColor rgb="FFFFFFCC"/>
      </patternFill>
    </fill>
  </fills>
  <borders count="22">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medium"/>
      <bottom style="thin"/>
      <diagonal/>
    </border>
    <border diagonalUp="false" diagonalDown="false">
      <left/>
      <right style="thin"/>
      <top style="medium"/>
      <bottom style="thin"/>
      <diagonal/>
    </border>
    <border diagonalUp="false" diagonalDown="false">
      <left style="thin"/>
      <right style="medium"/>
      <top style="thin"/>
      <bottom style="thin"/>
      <diagonal/>
    </border>
    <border diagonalUp="false" diagonalDown="false">
      <left style="medium"/>
      <right style="medium"/>
      <top style="medium"/>
      <bottom style="thin"/>
      <diagonal/>
    </border>
    <border diagonalUp="false" diagonalDown="false">
      <left style="medium"/>
      <right/>
      <top/>
      <bottom/>
      <diagonal/>
    </border>
    <border diagonalUp="false" diagonalDown="false">
      <left/>
      <right style="medium"/>
      <top/>
      <bottom/>
      <diagonal/>
    </border>
    <border diagonalUp="false" diagonalDown="false">
      <left style="medium"/>
      <right/>
      <top style="thin"/>
      <bottom style="thin"/>
      <diagonal/>
    </border>
    <border diagonalUp="false" diagonalDown="false">
      <left style="medium"/>
      <right style="medium"/>
      <top style="thin"/>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true" indent="0" shrinkToFit="false"/>
      <protection locked="true" hidden="false"/>
    </xf>
    <xf numFmtId="164" fontId="5" fillId="0" borderId="5"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false">
      <alignment horizontal="left" vertical="center" textRotation="0" wrapText="true" indent="0" shrinkToFit="false"/>
      <protection locked="true" hidden="false"/>
    </xf>
    <xf numFmtId="164" fontId="5" fillId="0" borderId="6" xfId="0" applyFont="true" applyBorder="true" applyAlignment="true" applyProtection="false">
      <alignment horizontal="center" vertical="center" textRotation="0" wrapText="true" indent="0" shrinkToFit="false"/>
      <protection locked="true" hidden="false"/>
    </xf>
    <xf numFmtId="164" fontId="5" fillId="0" borderId="6"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4" fillId="2" borderId="7" xfId="0" applyFont="true" applyBorder="true" applyAlignment="true" applyProtection="false">
      <alignment horizontal="center" vertical="center" textRotation="0" wrapText="false" indent="0" shrinkToFit="false"/>
      <protection locked="true" hidden="false"/>
    </xf>
    <xf numFmtId="164" fontId="4" fillId="2" borderId="8"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center" vertical="center" textRotation="0" wrapText="false" indent="0" shrinkToFit="false"/>
      <protection locked="true" hidden="false"/>
    </xf>
    <xf numFmtId="164" fontId="4" fillId="2" borderId="6" xfId="0" applyFont="true" applyBorder="true" applyAlignment="true" applyProtection="false">
      <alignment horizontal="center" vertical="center" textRotation="0" wrapText="false" indent="0" shrinkToFit="false"/>
      <protection locked="true" hidden="false"/>
    </xf>
    <xf numFmtId="164" fontId="4" fillId="2" borderId="6" xfId="0" applyFont="true" applyBorder="true" applyAlignment="true" applyProtection="false">
      <alignment horizontal="center" vertical="center" textRotation="0" wrapText="true" indent="0" shrinkToFit="false"/>
      <protection locked="true" hidden="false"/>
    </xf>
    <xf numFmtId="164" fontId="4" fillId="2" borderId="9"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9" xfId="0" applyFont="true" applyBorder="true" applyAlignment="true" applyProtection="false">
      <alignment horizontal="center" vertical="center" textRotation="0" wrapText="true" indent="0" shrinkToFit="false"/>
      <protection locked="true" hidden="false"/>
    </xf>
    <xf numFmtId="164" fontId="7" fillId="3" borderId="10" xfId="0" applyFont="true" applyBorder="true" applyAlignment="true" applyProtection="false">
      <alignment horizontal="center"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true" applyProtection="false">
      <alignment horizontal="center" vertical="center" textRotation="0" wrapText="false" indent="0" shrinkToFit="false"/>
      <protection locked="true" hidden="false"/>
    </xf>
    <xf numFmtId="164" fontId="8" fillId="0" borderId="9"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4" borderId="14"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0" fillId="0" borderId="12" xfId="0" applyFont="true" applyBorder="true" applyAlignment="false" applyProtection="false">
      <alignment horizontal="general" vertical="bottom" textRotation="0" wrapText="false" indent="0" shrinkToFit="false"/>
      <protection locked="true" hidden="false"/>
    </xf>
    <xf numFmtId="164" fontId="8" fillId="3" borderId="13" xfId="0" applyFont="true" applyBorder="true" applyAlignment="true" applyProtection="false">
      <alignment horizontal="center" vertical="center" textRotation="0" wrapText="false" indent="0" shrinkToFit="false"/>
      <protection locked="true" hidden="false"/>
    </xf>
    <xf numFmtId="164" fontId="8" fillId="3" borderId="15" xfId="0" applyFont="true" applyBorder="true" applyAlignment="true" applyProtection="false">
      <alignment horizontal="center" vertical="center"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8" fillId="0" borderId="17" xfId="0" applyFont="true" applyBorder="true" applyAlignment="true" applyProtection="false">
      <alignment horizontal="center" vertical="bottom" textRotation="0" wrapText="false" indent="0" shrinkToFit="false"/>
      <protection locked="true" hidden="false"/>
    </xf>
    <xf numFmtId="164" fontId="8" fillId="0" borderId="15" xfId="0" applyFont="true" applyBorder="true" applyAlignment="true" applyProtection="false">
      <alignment horizontal="center" vertical="bottom" textRotation="0" wrapText="fals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8" fillId="0" borderId="9" xfId="0" applyFont="true" applyBorder="true" applyAlignment="true" applyProtection="false">
      <alignment horizontal="center" vertical="center" textRotation="0" wrapText="false" indent="0" shrinkToFit="false"/>
      <protection locked="true" hidden="false"/>
    </xf>
    <xf numFmtId="164" fontId="11" fillId="0" borderId="5" xfId="0" applyFont="true" applyBorder="true" applyAlignment="true" applyProtection="false">
      <alignment horizontal="left" vertical="center" textRotation="0" wrapText="true" indent="0" shrinkToFit="false"/>
      <protection locked="true" hidden="false"/>
    </xf>
    <xf numFmtId="164" fontId="11" fillId="0" borderId="6" xfId="0" applyFont="true" applyBorder="true" applyAlignment="true" applyProtection="false">
      <alignment horizontal="center" vertical="center" textRotation="0" wrapText="true" indent="0" shrinkToFit="false"/>
      <protection locked="true" hidden="false"/>
    </xf>
    <xf numFmtId="164" fontId="11" fillId="0" borderId="9" xfId="0" applyFont="true" applyBorder="true" applyAlignment="true" applyProtection="false">
      <alignment horizontal="center" vertical="center" textRotation="0" wrapText="true" indent="0" shrinkToFit="false"/>
      <protection locked="true" hidden="false"/>
    </xf>
    <xf numFmtId="164" fontId="11" fillId="0" borderId="6" xfId="0" applyFont="true" applyBorder="true" applyAlignment="true" applyProtection="false">
      <alignment horizontal="left" vertical="bottom" textRotation="0" wrapText="false" indent="0" shrinkToFit="false"/>
      <protection locked="true" hidden="false"/>
    </xf>
    <xf numFmtId="164" fontId="11" fillId="0" borderId="6" xfId="0" applyFont="true" applyBorder="true" applyAlignment="true" applyProtection="false">
      <alignment horizontal="left" vertical="bottom" textRotation="0" wrapText="tru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11" fillId="0" borderId="18" xfId="0" applyFont="true" applyBorder="true" applyAlignment="true" applyProtection="false">
      <alignment horizontal="left" vertical="center" textRotation="0" wrapText="true" indent="0" shrinkToFit="false"/>
      <protection locked="true" hidden="false"/>
    </xf>
    <xf numFmtId="164" fontId="0" fillId="0" borderId="19" xfId="0" applyFont="false" applyBorder="true" applyAlignment="false" applyProtection="false">
      <alignment horizontal="general" vertical="bottom" textRotation="0" wrapText="false" indent="0" shrinkToFit="false"/>
      <protection locked="true" hidden="false"/>
    </xf>
    <xf numFmtId="164" fontId="11" fillId="0" borderId="19" xfId="0" applyFont="true" applyBorder="true" applyAlignment="true" applyProtection="false">
      <alignment horizontal="center" vertical="center" textRotation="0" wrapText="tru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1" fillId="0" borderId="2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2396880</xdr:colOff>
      <xdr:row>12</xdr:row>
      <xdr:rowOff>511200</xdr:rowOff>
    </xdr:from>
    <xdr:to>
      <xdr:col>2</xdr:col>
      <xdr:colOff>2440800</xdr:colOff>
      <xdr:row>13</xdr:row>
      <xdr:rowOff>83160</xdr:rowOff>
    </xdr:to>
    <xdr:sp>
      <xdr:nvSpPr>
        <xdr:cNvPr id="1" name="Shape 6"/>
        <xdr:cNvSpPr/>
      </xdr:nvSpPr>
      <xdr:spPr>
        <a:xfrm>
          <a:off x="4337280" y="8382600"/>
          <a:ext cx="43920" cy="143640"/>
        </a:xfrm>
        <a:custGeom>
          <a:avLst/>
          <a:gdLst>
            <a:gd name="textAreaLeft" fmla="*/ 0 w 43920"/>
            <a:gd name="textAreaRight" fmla="*/ 44280 w 43920"/>
            <a:gd name="textAreaTop" fmla="*/ 0 h 143640"/>
            <a:gd name="textAreaBottom" fmla="*/ 144000 h 143640"/>
            <a:gd name="GluePoint1X" fmla="*/ 48857 w 37465"/>
            <a:gd name="GluePoint1Y" fmla="*/ 0 h 148590"/>
            <a:gd name="GluePoint2X" fmla="*/ 0 w 37465"/>
            <a:gd name="GluePoint2Y" fmla="*/ 0 h 148590"/>
            <a:gd name="GluePoint3X" fmla="*/ 0 w 37465"/>
            <a:gd name="GluePoint3Y" fmla="*/ 88202 h 148590"/>
            <a:gd name="GluePoint4X" fmla="*/ 48857 w 37465"/>
            <a:gd name="GluePoint4Y" fmla="*/ 88202 h 148590"/>
            <a:gd name="GluePoint5X" fmla="*/ 48857 w 37465"/>
            <a:gd name="GluePoint5Y" fmla="*/ 0 h 148590"/>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37465" h="148590">
              <a:moveTo>
                <a:pt x="37337" y="0"/>
              </a:moveTo>
              <a:lnTo>
                <a:pt x="0" y="0"/>
              </a:lnTo>
              <a:lnTo>
                <a:pt x="0" y="148590"/>
              </a:lnTo>
              <a:lnTo>
                <a:pt x="37337" y="148590"/>
              </a:lnTo>
              <a:lnTo>
                <a:pt x="37337" y="0"/>
              </a:lnTo>
              <a:close/>
            </a:path>
          </a:pathLst>
        </a:custGeom>
        <a:solidFill>
          <a:srgbClr val="F4F4F4">
            <a:alpha val="50000"/>
          </a:srgbClr>
        </a:solidFill>
        <a:ln w="0">
          <a:noFill/>
        </a:ln>
      </xdr:spPr>
      <xdr:style>
        <a:lnRef idx="0"/>
        <a:fillRef idx="0"/>
        <a:effectRef idx="0"/>
        <a:fontRef idx="minor"/>
      </xdr:style>
    </xdr:sp>
    <xdr:clientData/>
  </xdr:twoCellAnchor>
  <xdr:twoCellAnchor editAs="oneCell">
    <xdr:from>
      <xdr:col>2</xdr:col>
      <xdr:colOff>2396880</xdr:colOff>
      <xdr:row>15</xdr:row>
      <xdr:rowOff>601200</xdr:rowOff>
    </xdr:from>
    <xdr:to>
      <xdr:col>2</xdr:col>
      <xdr:colOff>2440800</xdr:colOff>
      <xdr:row>15</xdr:row>
      <xdr:rowOff>753120</xdr:rowOff>
    </xdr:to>
    <xdr:sp>
      <xdr:nvSpPr>
        <xdr:cNvPr id="2" name="Shape 7"/>
        <xdr:cNvSpPr/>
      </xdr:nvSpPr>
      <xdr:spPr>
        <a:xfrm>
          <a:off x="4337280" y="10568160"/>
          <a:ext cx="43920" cy="151920"/>
        </a:xfrm>
        <a:custGeom>
          <a:avLst/>
          <a:gdLst>
            <a:gd name="textAreaLeft" fmla="*/ 0 w 43920"/>
            <a:gd name="textAreaRight" fmla="*/ 44280 w 43920"/>
            <a:gd name="textAreaTop" fmla="*/ 0 h 151920"/>
            <a:gd name="textAreaBottom" fmla="*/ 152280 h 151920"/>
            <a:gd name="GluePoint1X" fmla="*/ 48857 w 37465"/>
            <a:gd name="GluePoint1Y" fmla="*/ 0 h 148590"/>
            <a:gd name="GluePoint2X" fmla="*/ 0 w 37465"/>
            <a:gd name="GluePoint2Y" fmla="*/ 0 h 148590"/>
            <a:gd name="GluePoint3X" fmla="*/ 0 w 37465"/>
            <a:gd name="GluePoint3Y" fmla="*/ 222801 h 148590"/>
            <a:gd name="GluePoint4X" fmla="*/ 48857 w 37465"/>
            <a:gd name="GluePoint4Y" fmla="*/ 222801 h 148590"/>
            <a:gd name="GluePoint5X" fmla="*/ 48857 w 37465"/>
            <a:gd name="GluePoint5Y" fmla="*/ 0 h 148590"/>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37465" h="148590">
              <a:moveTo>
                <a:pt x="37337" y="0"/>
              </a:moveTo>
              <a:lnTo>
                <a:pt x="0" y="0"/>
              </a:lnTo>
              <a:lnTo>
                <a:pt x="0" y="148589"/>
              </a:lnTo>
              <a:lnTo>
                <a:pt x="37337" y="148589"/>
              </a:lnTo>
              <a:lnTo>
                <a:pt x="37337" y="0"/>
              </a:lnTo>
              <a:close/>
            </a:path>
          </a:pathLst>
        </a:custGeom>
        <a:solidFill>
          <a:srgbClr val="F4F4F4">
            <a:alpha val="50000"/>
          </a:srgbClr>
        </a:solidFill>
        <a:ln w="0">
          <a:noFill/>
        </a:ln>
      </xdr:spPr>
      <xdr:style>
        <a:lnRef idx="0"/>
        <a:fillRef idx="0"/>
        <a:effectRef idx="0"/>
        <a:fontRef idx="minor"/>
      </xdr:style>
    </xdr:sp>
    <xdr:clientData/>
  </xdr:twoCellAnchor>
  <xdr:twoCellAnchor editAs="oneCell">
    <xdr:from>
      <xdr:col>2</xdr:col>
      <xdr:colOff>2396880</xdr:colOff>
      <xdr:row>13</xdr:row>
      <xdr:rowOff>517680</xdr:rowOff>
    </xdr:from>
    <xdr:to>
      <xdr:col>2</xdr:col>
      <xdr:colOff>2440800</xdr:colOff>
      <xdr:row>13</xdr:row>
      <xdr:rowOff>663480</xdr:rowOff>
    </xdr:to>
    <xdr:sp>
      <xdr:nvSpPr>
        <xdr:cNvPr id="3" name="Shape 6"/>
        <xdr:cNvSpPr/>
      </xdr:nvSpPr>
      <xdr:spPr>
        <a:xfrm>
          <a:off x="4337280" y="8960760"/>
          <a:ext cx="43920" cy="145800"/>
        </a:xfrm>
        <a:custGeom>
          <a:avLst/>
          <a:gdLst>
            <a:gd name="textAreaLeft" fmla="*/ 0 w 43920"/>
            <a:gd name="textAreaRight" fmla="*/ 44280 w 43920"/>
            <a:gd name="textAreaTop" fmla="*/ 0 h 145800"/>
            <a:gd name="textAreaBottom" fmla="*/ 145800 h 145800"/>
            <a:gd name="GluePoint1X" fmla="*/ 48857 w 37465"/>
            <a:gd name="GluePoint1Y" fmla="*/ 0 h 148590"/>
            <a:gd name="GluePoint2X" fmla="*/ 0 w 37465"/>
            <a:gd name="GluePoint2Y" fmla="*/ 0 h 148590"/>
            <a:gd name="GluePoint3X" fmla="*/ 0 w 37465"/>
            <a:gd name="GluePoint3Y" fmla="*/ 88202 h 148590"/>
            <a:gd name="GluePoint4X" fmla="*/ 48857 w 37465"/>
            <a:gd name="GluePoint4Y" fmla="*/ 88202 h 148590"/>
            <a:gd name="GluePoint5X" fmla="*/ 48857 w 37465"/>
            <a:gd name="GluePoint5Y" fmla="*/ 0 h 148590"/>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37465" h="148590">
              <a:moveTo>
                <a:pt x="37337" y="0"/>
              </a:moveTo>
              <a:lnTo>
                <a:pt x="0" y="0"/>
              </a:lnTo>
              <a:lnTo>
                <a:pt x="0" y="148590"/>
              </a:lnTo>
              <a:lnTo>
                <a:pt x="37337" y="148590"/>
              </a:lnTo>
              <a:lnTo>
                <a:pt x="37337" y="0"/>
              </a:lnTo>
              <a:close/>
            </a:path>
          </a:pathLst>
        </a:custGeom>
        <a:solidFill>
          <a:srgbClr val="F4F4F4">
            <a:alpha val="50000"/>
          </a:srgbClr>
        </a:solidFill>
        <a:ln w="0">
          <a:noFill/>
        </a:ln>
      </xdr:spPr>
      <xdr:style>
        <a:lnRef idx="0"/>
        <a:fillRef idx="0"/>
        <a:effectRef idx="0"/>
        <a:fontRef idx="minor"/>
      </xdr:style>
    </xdr:sp>
    <xdr:clientData/>
  </xdr:twoCellAnchor>
  <xdr:twoCellAnchor editAs="oneCell">
    <xdr:from>
      <xdr:col>2</xdr:col>
      <xdr:colOff>2396880</xdr:colOff>
      <xdr:row>14</xdr:row>
      <xdr:rowOff>601560</xdr:rowOff>
    </xdr:from>
    <xdr:to>
      <xdr:col>2</xdr:col>
      <xdr:colOff>2440800</xdr:colOff>
      <xdr:row>14</xdr:row>
      <xdr:rowOff>753120</xdr:rowOff>
    </xdr:to>
    <xdr:sp>
      <xdr:nvSpPr>
        <xdr:cNvPr id="4" name="Shape 7"/>
        <xdr:cNvSpPr/>
      </xdr:nvSpPr>
      <xdr:spPr>
        <a:xfrm>
          <a:off x="4337280" y="9806400"/>
          <a:ext cx="43920" cy="151560"/>
        </a:xfrm>
        <a:custGeom>
          <a:avLst/>
          <a:gdLst>
            <a:gd name="textAreaLeft" fmla="*/ 0 w 43920"/>
            <a:gd name="textAreaRight" fmla="*/ 44280 w 43920"/>
            <a:gd name="textAreaTop" fmla="*/ 0 h 151560"/>
            <a:gd name="textAreaBottom" fmla="*/ 151920 h 151560"/>
            <a:gd name="GluePoint1X" fmla="*/ 48857 w 37465"/>
            <a:gd name="GluePoint1Y" fmla="*/ 0 h 148590"/>
            <a:gd name="GluePoint2X" fmla="*/ 0 w 37465"/>
            <a:gd name="GluePoint2Y" fmla="*/ 0 h 148590"/>
            <a:gd name="GluePoint3X" fmla="*/ 0 w 37465"/>
            <a:gd name="GluePoint3Y" fmla="*/ 222801 h 148590"/>
            <a:gd name="GluePoint4X" fmla="*/ 48857 w 37465"/>
            <a:gd name="GluePoint4Y" fmla="*/ 222801 h 148590"/>
            <a:gd name="GluePoint5X" fmla="*/ 48857 w 37465"/>
            <a:gd name="GluePoint5Y" fmla="*/ 0 h 148590"/>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37465" h="148590">
              <a:moveTo>
                <a:pt x="37337" y="0"/>
              </a:moveTo>
              <a:lnTo>
                <a:pt x="0" y="0"/>
              </a:lnTo>
              <a:lnTo>
                <a:pt x="0" y="148589"/>
              </a:lnTo>
              <a:lnTo>
                <a:pt x="37337" y="148589"/>
              </a:lnTo>
              <a:lnTo>
                <a:pt x="37337" y="0"/>
              </a:lnTo>
              <a:close/>
            </a:path>
          </a:pathLst>
        </a:custGeom>
        <a:solidFill>
          <a:srgbClr val="F4F4F4">
            <a:alpha val="50000"/>
          </a:srgbClr>
        </a:solidFill>
        <a:ln w="0">
          <a:no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470880</xdr:colOff>
      <xdr:row>1</xdr:row>
      <xdr:rowOff>351000</xdr:rowOff>
    </xdr:from>
    <xdr:to>
      <xdr:col>7</xdr:col>
      <xdr:colOff>439920</xdr:colOff>
      <xdr:row>3</xdr:row>
      <xdr:rowOff>144000</xdr:rowOff>
    </xdr:to>
    <xdr:pic>
      <xdr:nvPicPr>
        <xdr:cNvPr id="5" name="Picture 2" descr="A red and white logo&#10;&#10;Description automatically generated"/>
        <xdr:cNvPicPr/>
      </xdr:nvPicPr>
      <xdr:blipFill>
        <a:blip r:embed="rId1"/>
        <a:stretch/>
      </xdr:blipFill>
      <xdr:spPr>
        <a:xfrm>
          <a:off x="12934800" y="518760"/>
          <a:ext cx="2404080" cy="8024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102240</xdr:colOff>
      <xdr:row>0</xdr:row>
      <xdr:rowOff>77040</xdr:rowOff>
    </xdr:from>
    <xdr:to>
      <xdr:col>0</xdr:col>
      <xdr:colOff>1513080</xdr:colOff>
      <xdr:row>0</xdr:row>
      <xdr:rowOff>541800</xdr:rowOff>
    </xdr:to>
    <xdr:pic>
      <xdr:nvPicPr>
        <xdr:cNvPr id="6" name="Picture 2" descr="A red and white logo&#10;&#10;Description automatically generated"/>
        <xdr:cNvPicPr/>
      </xdr:nvPicPr>
      <xdr:blipFill>
        <a:blip r:embed="rId1"/>
        <a:stretch/>
      </xdr:blipFill>
      <xdr:spPr>
        <a:xfrm>
          <a:off x="102240" y="77040"/>
          <a:ext cx="1410840" cy="46476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102240</xdr:colOff>
      <xdr:row>0</xdr:row>
      <xdr:rowOff>77040</xdr:rowOff>
    </xdr:from>
    <xdr:to>
      <xdr:col>0</xdr:col>
      <xdr:colOff>1513080</xdr:colOff>
      <xdr:row>0</xdr:row>
      <xdr:rowOff>541800</xdr:rowOff>
    </xdr:to>
    <xdr:pic>
      <xdr:nvPicPr>
        <xdr:cNvPr id="7" name="Picture 2" descr="A red and white logo&#10;&#10;Description automatically generated"/>
        <xdr:cNvPicPr/>
      </xdr:nvPicPr>
      <xdr:blipFill>
        <a:blip r:embed="rId1"/>
        <a:stretch/>
      </xdr:blipFill>
      <xdr:spPr>
        <a:xfrm>
          <a:off x="102240" y="77040"/>
          <a:ext cx="1410840" cy="4647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102240</xdr:colOff>
      <xdr:row>0</xdr:row>
      <xdr:rowOff>77040</xdr:rowOff>
    </xdr:from>
    <xdr:to>
      <xdr:col>0</xdr:col>
      <xdr:colOff>1513080</xdr:colOff>
      <xdr:row>0</xdr:row>
      <xdr:rowOff>541800</xdr:rowOff>
    </xdr:to>
    <xdr:pic>
      <xdr:nvPicPr>
        <xdr:cNvPr id="8" name="Picture 2" descr="A red and white logo&#10;&#10;Description automatically generated"/>
        <xdr:cNvPicPr/>
      </xdr:nvPicPr>
      <xdr:blipFill>
        <a:blip r:embed="rId1"/>
        <a:stretch/>
      </xdr:blipFill>
      <xdr:spPr>
        <a:xfrm>
          <a:off x="102240" y="77040"/>
          <a:ext cx="1410840" cy="4647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102240</xdr:colOff>
      <xdr:row>0</xdr:row>
      <xdr:rowOff>77040</xdr:rowOff>
    </xdr:from>
    <xdr:to>
      <xdr:col>0</xdr:col>
      <xdr:colOff>1513080</xdr:colOff>
      <xdr:row>0</xdr:row>
      <xdr:rowOff>541800</xdr:rowOff>
    </xdr:to>
    <xdr:pic>
      <xdr:nvPicPr>
        <xdr:cNvPr id="9" name="Picture 2" descr="A red and white logo&#10;&#10;Description automatically generated"/>
        <xdr:cNvPicPr/>
      </xdr:nvPicPr>
      <xdr:blipFill>
        <a:blip r:embed="rId1"/>
        <a:stretch/>
      </xdr:blipFill>
      <xdr:spPr>
        <a:xfrm>
          <a:off x="102240" y="77040"/>
          <a:ext cx="1410840" cy="4647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102240</xdr:colOff>
      <xdr:row>0</xdr:row>
      <xdr:rowOff>77040</xdr:rowOff>
    </xdr:from>
    <xdr:to>
      <xdr:col>0</xdr:col>
      <xdr:colOff>1513080</xdr:colOff>
      <xdr:row>0</xdr:row>
      <xdr:rowOff>541800</xdr:rowOff>
    </xdr:to>
    <xdr:pic>
      <xdr:nvPicPr>
        <xdr:cNvPr id="10" name="Picture 2" descr="A red and white logo&#10;&#10;Description automatically generated"/>
        <xdr:cNvPicPr/>
      </xdr:nvPicPr>
      <xdr:blipFill>
        <a:blip r:embed="rId1"/>
        <a:stretch/>
      </xdr:blipFill>
      <xdr:spPr>
        <a:xfrm>
          <a:off x="102240" y="77040"/>
          <a:ext cx="1410840" cy="4647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102240</xdr:colOff>
      <xdr:row>0</xdr:row>
      <xdr:rowOff>77040</xdr:rowOff>
    </xdr:from>
    <xdr:to>
      <xdr:col>0</xdr:col>
      <xdr:colOff>1513080</xdr:colOff>
      <xdr:row>0</xdr:row>
      <xdr:rowOff>541800</xdr:rowOff>
    </xdr:to>
    <xdr:pic>
      <xdr:nvPicPr>
        <xdr:cNvPr id="11" name="Picture 2" descr="A red and white logo&#10;&#10;Description automatically generated"/>
        <xdr:cNvPicPr/>
      </xdr:nvPicPr>
      <xdr:blipFill>
        <a:blip r:embed="rId1"/>
        <a:stretch/>
      </xdr:blipFill>
      <xdr:spPr>
        <a:xfrm>
          <a:off x="102240" y="77040"/>
          <a:ext cx="1410840" cy="46476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102240</xdr:colOff>
      <xdr:row>0</xdr:row>
      <xdr:rowOff>77040</xdr:rowOff>
    </xdr:from>
    <xdr:to>
      <xdr:col>0</xdr:col>
      <xdr:colOff>1513080</xdr:colOff>
      <xdr:row>0</xdr:row>
      <xdr:rowOff>541800</xdr:rowOff>
    </xdr:to>
    <xdr:pic>
      <xdr:nvPicPr>
        <xdr:cNvPr id="12" name="Picture 2" descr="A red and white logo&#10;&#10;Description automatically generated"/>
        <xdr:cNvPicPr/>
      </xdr:nvPicPr>
      <xdr:blipFill>
        <a:blip r:embed="rId1"/>
        <a:stretch/>
      </xdr:blipFill>
      <xdr:spPr>
        <a:xfrm>
          <a:off x="102240" y="77040"/>
          <a:ext cx="1410840" cy="4647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3.2" customHeight="false" zeroHeight="false" outlineLevelRow="0" outlineLevelCol="0"/>
  <cols>
    <col collapsed="false" customWidth="true" hidden="false" outlineLevel="0" max="1" min="1" style="0" width="12.66"/>
    <col collapsed="false" customWidth="true" hidden="false" outlineLevel="0" max="2" min="2" style="1" width="14.87"/>
    <col collapsed="false" customWidth="true" hidden="false" outlineLevel="0" max="3" min="3" style="0" width="63.66"/>
    <col collapsed="false" customWidth="true" hidden="true" outlineLevel="0" max="4" min="4" style="0" width="16.32"/>
    <col collapsed="false" customWidth="true" hidden="true" outlineLevel="0" max="5" min="5" style="0" width="26.32"/>
    <col collapsed="false" customWidth="true" hidden="true" outlineLevel="0" max="6" min="6" style="0" width="34.66"/>
    <col collapsed="false" customWidth="true" hidden="false" outlineLevel="0" max="9" min="7" style="0" width="34.66"/>
    <col collapsed="false" customWidth="true" hidden="false" outlineLevel="0" max="10" min="10" style="0" width="27.32"/>
    <col collapsed="false" customWidth="true" hidden="false" outlineLevel="0" max="11" min="11" style="0" width="51.87"/>
    <col collapsed="false" customWidth="true" hidden="false" outlineLevel="0" max="12" min="12" style="0" width="19.43"/>
    <col collapsed="false" customWidth="true" hidden="false" outlineLevel="0" max="13" min="13" style="0" width="20.32"/>
    <col collapsed="false" customWidth="true" hidden="false" outlineLevel="0" max="14" min="14" style="0" width="23.1"/>
    <col collapsed="false" customWidth="true" hidden="false" outlineLevel="0" max="16" min="15" style="0" width="31.1"/>
    <col collapsed="false" customWidth="true" hidden="false" outlineLevel="0" max="17" min="17" style="0" width="23.1"/>
    <col collapsed="false" customWidth="true" hidden="false" outlineLevel="0" max="18" min="18" style="0" width="19.33"/>
    <col collapsed="false" customWidth="true" hidden="true" outlineLevel="0" max="19" min="19" style="1" width="16.32"/>
  </cols>
  <sheetData>
    <row r="1" customFormat="false" ht="17.4" hidden="false" customHeight="false" outlineLevel="0" collapsed="false">
      <c r="A1" s="2" t="s">
        <v>0</v>
      </c>
      <c r="B1" s="3" t="s">
        <v>1</v>
      </c>
      <c r="C1" s="3" t="s">
        <v>2</v>
      </c>
      <c r="D1" s="3" t="s">
        <v>3</v>
      </c>
      <c r="E1" s="4"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customFormat="false" ht="17.4" hidden="false" customHeight="false" outlineLevel="0" collapsed="false">
      <c r="A2" s="5"/>
      <c r="B2" s="6"/>
      <c r="C2" s="6" t="s">
        <v>19</v>
      </c>
      <c r="D2" s="6"/>
      <c r="E2" s="7"/>
      <c r="F2" s="6"/>
      <c r="G2" s="6"/>
      <c r="H2" s="6"/>
      <c r="I2" s="6"/>
      <c r="J2" s="6"/>
      <c r="K2" s="6"/>
      <c r="L2" s="6"/>
      <c r="M2" s="6"/>
      <c r="N2" s="6"/>
      <c r="O2" s="6"/>
      <c r="P2" s="6"/>
      <c r="Q2" s="6"/>
      <c r="R2" s="6"/>
      <c r="S2" s="6"/>
    </row>
    <row r="3" customFormat="false" ht="60" hidden="false" customHeight="false" outlineLevel="0" collapsed="false">
      <c r="A3" s="8" t="n">
        <v>1</v>
      </c>
      <c r="B3" s="9" t="s">
        <v>20</v>
      </c>
      <c r="C3" s="10" t="s">
        <v>21</v>
      </c>
      <c r="D3" s="11" t="s">
        <v>22</v>
      </c>
      <c r="E3" s="11" t="s">
        <v>22</v>
      </c>
      <c r="F3" s="9" t="s">
        <v>22</v>
      </c>
      <c r="G3" s="9" t="s">
        <v>23</v>
      </c>
      <c r="H3" s="9" t="s">
        <v>24</v>
      </c>
      <c r="I3" s="9" t="s">
        <v>25</v>
      </c>
      <c r="J3" s="11" t="s">
        <v>26</v>
      </c>
      <c r="K3" s="11" t="s">
        <v>27</v>
      </c>
      <c r="L3" s="11" t="s">
        <v>28</v>
      </c>
      <c r="M3" s="11" t="s">
        <v>22</v>
      </c>
      <c r="N3" s="11" t="s">
        <v>22</v>
      </c>
      <c r="O3" s="11" t="s">
        <v>22</v>
      </c>
      <c r="P3" s="11" t="s">
        <v>29</v>
      </c>
      <c r="Q3" s="11" t="s">
        <v>30</v>
      </c>
      <c r="R3" s="11" t="s">
        <v>31</v>
      </c>
      <c r="S3" s="12" t="s">
        <v>22</v>
      </c>
    </row>
    <row r="4" customFormat="false" ht="60" hidden="false" customHeight="false" outlineLevel="0" collapsed="false">
      <c r="A4" s="8" t="n">
        <f aca="false">A3+1</f>
        <v>2</v>
      </c>
      <c r="B4" s="9" t="s">
        <v>32</v>
      </c>
      <c r="C4" s="10" t="s">
        <v>21</v>
      </c>
      <c r="D4" s="11" t="s">
        <v>22</v>
      </c>
      <c r="E4" s="11" t="s">
        <v>22</v>
      </c>
      <c r="F4" s="9" t="s">
        <v>22</v>
      </c>
      <c r="G4" s="9" t="s">
        <v>23</v>
      </c>
      <c r="H4" s="9" t="s">
        <v>33</v>
      </c>
      <c r="I4" s="9" t="s">
        <v>34</v>
      </c>
      <c r="J4" s="11" t="s">
        <v>26</v>
      </c>
      <c r="K4" s="11" t="s">
        <v>35</v>
      </c>
      <c r="L4" s="11" t="s">
        <v>28</v>
      </c>
      <c r="M4" s="11" t="s">
        <v>36</v>
      </c>
      <c r="N4" s="11" t="s">
        <v>37</v>
      </c>
      <c r="O4" s="11" t="s">
        <v>38</v>
      </c>
      <c r="P4" s="11" t="s">
        <v>22</v>
      </c>
      <c r="Q4" s="11" t="s">
        <v>22</v>
      </c>
      <c r="R4" s="11" t="s">
        <v>22</v>
      </c>
      <c r="S4" s="12" t="s">
        <v>22</v>
      </c>
    </row>
    <row r="5" customFormat="false" ht="60" hidden="false" customHeight="false" outlineLevel="0" collapsed="false">
      <c r="A5" s="8" t="n">
        <f aca="false">A4+1</f>
        <v>3</v>
      </c>
      <c r="B5" s="9" t="s">
        <v>39</v>
      </c>
      <c r="C5" s="10" t="s">
        <v>40</v>
      </c>
      <c r="D5" s="11" t="s">
        <v>22</v>
      </c>
      <c r="E5" s="11" t="s">
        <v>22</v>
      </c>
      <c r="F5" s="9" t="s">
        <v>22</v>
      </c>
      <c r="G5" s="9" t="s">
        <v>23</v>
      </c>
      <c r="H5" s="9" t="s">
        <v>33</v>
      </c>
      <c r="I5" s="9" t="s">
        <v>34</v>
      </c>
      <c r="J5" s="11" t="s">
        <v>26</v>
      </c>
      <c r="K5" s="11" t="s">
        <v>35</v>
      </c>
      <c r="L5" s="11" t="s">
        <v>28</v>
      </c>
      <c r="M5" s="11" t="s">
        <v>36</v>
      </c>
      <c r="N5" s="11" t="s">
        <v>37</v>
      </c>
      <c r="O5" s="11" t="s">
        <v>38</v>
      </c>
      <c r="P5" s="11" t="s">
        <v>22</v>
      </c>
      <c r="Q5" s="11" t="s">
        <v>22</v>
      </c>
      <c r="R5" s="11" t="s">
        <v>22</v>
      </c>
      <c r="S5" s="12" t="s">
        <v>22</v>
      </c>
    </row>
    <row r="6" customFormat="false" ht="60" hidden="false" customHeight="false" outlineLevel="0" collapsed="false">
      <c r="A6" s="8" t="n">
        <f aca="false">A5+1</f>
        <v>4</v>
      </c>
      <c r="B6" s="9" t="s">
        <v>41</v>
      </c>
      <c r="C6" s="10" t="s">
        <v>40</v>
      </c>
      <c r="D6" s="11" t="s">
        <v>22</v>
      </c>
      <c r="E6" s="11" t="s">
        <v>22</v>
      </c>
      <c r="F6" s="9" t="s">
        <v>22</v>
      </c>
      <c r="G6" s="9" t="s">
        <v>23</v>
      </c>
      <c r="H6" s="9" t="s">
        <v>33</v>
      </c>
      <c r="I6" s="9" t="s">
        <v>34</v>
      </c>
      <c r="J6" s="11" t="s">
        <v>26</v>
      </c>
      <c r="K6" s="11" t="s">
        <v>35</v>
      </c>
      <c r="L6" s="11" t="s">
        <v>28</v>
      </c>
      <c r="M6" s="11" t="s">
        <v>36</v>
      </c>
      <c r="N6" s="11" t="s">
        <v>37</v>
      </c>
      <c r="O6" s="11" t="s">
        <v>38</v>
      </c>
      <c r="P6" s="11" t="s">
        <v>22</v>
      </c>
      <c r="Q6" s="11" t="s">
        <v>22</v>
      </c>
      <c r="R6" s="11" t="s">
        <v>22</v>
      </c>
      <c r="S6" s="12" t="s">
        <v>22</v>
      </c>
    </row>
    <row r="7" customFormat="false" ht="60" hidden="false" customHeight="false" outlineLevel="0" collapsed="false">
      <c r="A7" s="8" t="n">
        <f aca="false">A6+1</f>
        <v>5</v>
      </c>
      <c r="B7" s="9" t="s">
        <v>42</v>
      </c>
      <c r="C7" s="10" t="s">
        <v>43</v>
      </c>
      <c r="D7" s="11" t="s">
        <v>22</v>
      </c>
      <c r="E7" s="11" t="s">
        <v>22</v>
      </c>
      <c r="F7" s="9" t="s">
        <v>22</v>
      </c>
      <c r="G7" s="9" t="s">
        <v>44</v>
      </c>
      <c r="H7" s="9" t="s">
        <v>45</v>
      </c>
      <c r="I7" s="9" t="s">
        <v>46</v>
      </c>
      <c r="J7" s="11" t="s">
        <v>26</v>
      </c>
      <c r="K7" s="11" t="s">
        <v>47</v>
      </c>
      <c r="L7" s="11" t="s">
        <v>28</v>
      </c>
      <c r="M7" s="11" t="s">
        <v>36</v>
      </c>
      <c r="N7" s="11" t="s">
        <v>37</v>
      </c>
      <c r="O7" s="11" t="s">
        <v>48</v>
      </c>
      <c r="P7" s="11" t="s">
        <v>22</v>
      </c>
      <c r="Q7" s="11" t="s">
        <v>22</v>
      </c>
      <c r="R7" s="11" t="s">
        <v>49</v>
      </c>
      <c r="S7" s="12" t="s">
        <v>22</v>
      </c>
    </row>
    <row r="8" customFormat="false" ht="60" hidden="false" customHeight="false" outlineLevel="0" collapsed="false">
      <c r="A8" s="8" t="n">
        <f aca="false">A7+1</f>
        <v>6</v>
      </c>
      <c r="B8" s="9" t="s">
        <v>50</v>
      </c>
      <c r="C8" s="10" t="s">
        <v>51</v>
      </c>
      <c r="D8" s="11" t="s">
        <v>22</v>
      </c>
      <c r="E8" s="11" t="s">
        <v>22</v>
      </c>
      <c r="F8" s="9" t="s">
        <v>22</v>
      </c>
      <c r="G8" s="9" t="s">
        <v>44</v>
      </c>
      <c r="H8" s="9" t="s">
        <v>45</v>
      </c>
      <c r="I8" s="9" t="s">
        <v>46</v>
      </c>
      <c r="J8" s="11" t="s">
        <v>26</v>
      </c>
      <c r="K8" s="11" t="s">
        <v>47</v>
      </c>
      <c r="L8" s="11" t="s">
        <v>28</v>
      </c>
      <c r="M8" s="11" t="s">
        <v>36</v>
      </c>
      <c r="N8" s="11" t="s">
        <v>37</v>
      </c>
      <c r="O8" s="11" t="s">
        <v>48</v>
      </c>
      <c r="P8" s="11" t="s">
        <v>22</v>
      </c>
      <c r="Q8" s="11" t="s">
        <v>22</v>
      </c>
      <c r="R8" s="11" t="s">
        <v>49</v>
      </c>
      <c r="S8" s="12" t="s">
        <v>22</v>
      </c>
    </row>
    <row r="9" customFormat="false" ht="60" hidden="false" customHeight="false" outlineLevel="0" collapsed="false">
      <c r="A9" s="8" t="n">
        <f aca="false">A8+1</f>
        <v>7</v>
      </c>
      <c r="B9" s="9" t="s">
        <v>52</v>
      </c>
      <c r="C9" s="10" t="s">
        <v>51</v>
      </c>
      <c r="D9" s="11" t="s">
        <v>22</v>
      </c>
      <c r="E9" s="11" t="s">
        <v>22</v>
      </c>
      <c r="F9" s="9" t="s">
        <v>22</v>
      </c>
      <c r="G9" s="9" t="s">
        <v>44</v>
      </c>
      <c r="H9" s="9" t="s">
        <v>45</v>
      </c>
      <c r="I9" s="9" t="s">
        <v>46</v>
      </c>
      <c r="J9" s="11" t="s">
        <v>26</v>
      </c>
      <c r="K9" s="11" t="s">
        <v>47</v>
      </c>
      <c r="L9" s="11" t="s">
        <v>28</v>
      </c>
      <c r="M9" s="11" t="s">
        <v>36</v>
      </c>
      <c r="N9" s="11" t="s">
        <v>37</v>
      </c>
      <c r="O9" s="11" t="s">
        <v>48</v>
      </c>
      <c r="P9" s="11" t="s">
        <v>22</v>
      </c>
      <c r="Q9" s="11" t="s">
        <v>22</v>
      </c>
      <c r="R9" s="11" t="s">
        <v>49</v>
      </c>
      <c r="S9" s="12" t="s">
        <v>22</v>
      </c>
    </row>
    <row r="10" customFormat="false" ht="60" hidden="false" customHeight="false" outlineLevel="0" collapsed="false">
      <c r="A10" s="8" t="n">
        <f aca="false">A9+1</f>
        <v>8</v>
      </c>
      <c r="B10" s="9" t="s">
        <v>53</v>
      </c>
      <c r="C10" s="10" t="s">
        <v>54</v>
      </c>
      <c r="D10" s="11" t="s">
        <v>22</v>
      </c>
      <c r="E10" s="11" t="s">
        <v>22</v>
      </c>
      <c r="F10" s="9" t="s">
        <v>22</v>
      </c>
      <c r="G10" s="9" t="s">
        <v>44</v>
      </c>
      <c r="H10" s="9" t="s">
        <v>45</v>
      </c>
      <c r="I10" s="9" t="s">
        <v>46</v>
      </c>
      <c r="J10" s="11" t="s">
        <v>26</v>
      </c>
      <c r="K10" s="11" t="s">
        <v>55</v>
      </c>
      <c r="L10" s="11" t="s">
        <v>28</v>
      </c>
      <c r="M10" s="11" t="s">
        <v>36</v>
      </c>
      <c r="N10" s="11" t="s">
        <v>37</v>
      </c>
      <c r="O10" s="11" t="s">
        <v>56</v>
      </c>
      <c r="P10" s="11" t="s">
        <v>22</v>
      </c>
      <c r="Q10" s="11" t="s">
        <v>22</v>
      </c>
      <c r="R10" s="11" t="s">
        <v>57</v>
      </c>
      <c r="S10" s="12" t="s">
        <v>22</v>
      </c>
    </row>
    <row r="11" customFormat="false" ht="60" hidden="false" customHeight="false" outlineLevel="0" collapsed="false">
      <c r="A11" s="8" t="n">
        <f aca="false">A10+1</f>
        <v>9</v>
      </c>
      <c r="B11" s="9" t="s">
        <v>58</v>
      </c>
      <c r="C11" s="10" t="s">
        <v>54</v>
      </c>
      <c r="D11" s="11" t="s">
        <v>22</v>
      </c>
      <c r="E11" s="11" t="s">
        <v>22</v>
      </c>
      <c r="F11" s="9" t="s">
        <v>22</v>
      </c>
      <c r="G11" s="9" t="s">
        <v>44</v>
      </c>
      <c r="H11" s="9" t="s">
        <v>45</v>
      </c>
      <c r="I11" s="9" t="s">
        <v>46</v>
      </c>
      <c r="J11" s="11" t="s">
        <v>26</v>
      </c>
      <c r="K11" s="11" t="s">
        <v>55</v>
      </c>
      <c r="L11" s="11" t="s">
        <v>28</v>
      </c>
      <c r="M11" s="11" t="s">
        <v>36</v>
      </c>
      <c r="N11" s="11" t="s">
        <v>37</v>
      </c>
      <c r="O11" s="11" t="s">
        <v>56</v>
      </c>
      <c r="P11" s="11" t="s">
        <v>22</v>
      </c>
      <c r="Q11" s="11" t="s">
        <v>22</v>
      </c>
      <c r="R11" s="11" t="s">
        <v>57</v>
      </c>
      <c r="S11" s="12" t="s">
        <v>22</v>
      </c>
    </row>
    <row r="12" customFormat="false" ht="45" hidden="false" customHeight="false" outlineLevel="0" collapsed="false">
      <c r="A12" s="8" t="n">
        <f aca="false">A11+1</f>
        <v>10</v>
      </c>
      <c r="B12" s="9" t="s">
        <v>59</v>
      </c>
      <c r="C12" s="10" t="s">
        <v>60</v>
      </c>
      <c r="D12" s="11" t="s">
        <v>22</v>
      </c>
      <c r="E12" s="11" t="s">
        <v>22</v>
      </c>
      <c r="F12" s="9" t="s">
        <v>22</v>
      </c>
      <c r="G12" s="9" t="s">
        <v>61</v>
      </c>
      <c r="H12" s="9" t="s">
        <v>62</v>
      </c>
      <c r="I12" s="9" t="s">
        <v>63</v>
      </c>
      <c r="J12" s="11" t="s">
        <v>26</v>
      </c>
      <c r="K12" s="11" t="s">
        <v>64</v>
      </c>
      <c r="L12" s="11" t="s">
        <v>28</v>
      </c>
      <c r="M12" s="11" t="s">
        <v>22</v>
      </c>
      <c r="N12" s="11" t="s">
        <v>22</v>
      </c>
      <c r="O12" s="11" t="s">
        <v>22</v>
      </c>
      <c r="P12" s="11" t="s">
        <v>22</v>
      </c>
      <c r="Q12" s="11" t="s">
        <v>22</v>
      </c>
      <c r="R12" s="11" t="s">
        <v>65</v>
      </c>
      <c r="S12" s="12" t="s">
        <v>22</v>
      </c>
    </row>
    <row r="13" customFormat="false" ht="45" hidden="false" customHeight="false" outlineLevel="0" collapsed="false">
      <c r="A13" s="8" t="n">
        <f aca="false">A12+1</f>
        <v>11</v>
      </c>
      <c r="B13" s="9" t="s">
        <v>66</v>
      </c>
      <c r="C13" s="10" t="s">
        <v>60</v>
      </c>
      <c r="D13" s="11" t="s">
        <v>22</v>
      </c>
      <c r="E13" s="11" t="s">
        <v>22</v>
      </c>
      <c r="F13" s="9" t="s">
        <v>22</v>
      </c>
      <c r="G13" s="9" t="s">
        <v>23</v>
      </c>
      <c r="H13" s="9" t="s">
        <v>67</v>
      </c>
      <c r="I13" s="9" t="s">
        <v>68</v>
      </c>
      <c r="J13" s="11" t="s">
        <v>26</v>
      </c>
      <c r="K13" s="11" t="s">
        <v>69</v>
      </c>
      <c r="L13" s="11" t="s">
        <v>22</v>
      </c>
      <c r="M13" s="11" t="s">
        <v>22</v>
      </c>
      <c r="N13" s="11" t="s">
        <v>22</v>
      </c>
      <c r="O13" s="11" t="s">
        <v>70</v>
      </c>
      <c r="P13" s="11" t="s">
        <v>22</v>
      </c>
      <c r="Q13" s="11" t="s">
        <v>22</v>
      </c>
      <c r="R13" s="11" t="s">
        <v>71</v>
      </c>
      <c r="S13" s="12" t="s">
        <v>22</v>
      </c>
    </row>
    <row r="14" customFormat="false" ht="60" hidden="false" customHeight="false" outlineLevel="0" collapsed="false">
      <c r="A14" s="8" t="n">
        <f aca="false">A13+1</f>
        <v>12</v>
      </c>
      <c r="B14" s="9" t="s">
        <v>72</v>
      </c>
      <c r="C14" s="10" t="s">
        <v>73</v>
      </c>
      <c r="D14" s="11" t="s">
        <v>22</v>
      </c>
      <c r="E14" s="11" t="s">
        <v>22</v>
      </c>
      <c r="F14" s="9" t="s">
        <v>22</v>
      </c>
      <c r="G14" s="9" t="s">
        <v>23</v>
      </c>
      <c r="H14" s="9" t="s">
        <v>67</v>
      </c>
      <c r="I14" s="9" t="s">
        <v>68</v>
      </c>
      <c r="J14" s="11" t="s">
        <v>26</v>
      </c>
      <c r="K14" s="11" t="s">
        <v>69</v>
      </c>
      <c r="L14" s="11" t="s">
        <v>22</v>
      </c>
      <c r="M14" s="11" t="s">
        <v>22</v>
      </c>
      <c r="N14" s="11" t="s">
        <v>22</v>
      </c>
      <c r="O14" s="11" t="s">
        <v>70</v>
      </c>
      <c r="P14" s="11" t="s">
        <v>22</v>
      </c>
      <c r="Q14" s="11" t="s">
        <v>22</v>
      </c>
      <c r="R14" s="11" t="s">
        <v>71</v>
      </c>
      <c r="S14" s="12" t="s">
        <v>22</v>
      </c>
    </row>
    <row r="15" customFormat="false" ht="60" hidden="false" customHeight="false" outlineLevel="0" collapsed="false">
      <c r="A15" s="8" t="n">
        <f aca="false">A14+1</f>
        <v>13</v>
      </c>
      <c r="B15" s="9" t="s">
        <v>74</v>
      </c>
      <c r="C15" s="10" t="s">
        <v>73</v>
      </c>
      <c r="D15" s="11" t="s">
        <v>22</v>
      </c>
      <c r="E15" s="11" t="s">
        <v>22</v>
      </c>
      <c r="F15" s="9" t="s">
        <v>22</v>
      </c>
      <c r="G15" s="9" t="s">
        <v>23</v>
      </c>
      <c r="H15" s="9" t="s">
        <v>75</v>
      </c>
      <c r="I15" s="9" t="s">
        <v>68</v>
      </c>
      <c r="J15" s="11" t="s">
        <v>26</v>
      </c>
      <c r="K15" s="11" t="s">
        <v>76</v>
      </c>
      <c r="L15" s="11" t="s">
        <v>28</v>
      </c>
      <c r="M15" s="11" t="s">
        <v>22</v>
      </c>
      <c r="N15" s="11" t="s">
        <v>22</v>
      </c>
      <c r="O15" s="11" t="s">
        <v>70</v>
      </c>
      <c r="P15" s="11" t="s">
        <v>22</v>
      </c>
      <c r="Q15" s="11" t="s">
        <v>22</v>
      </c>
      <c r="R15" s="11" t="s">
        <v>77</v>
      </c>
      <c r="S15" s="12" t="s">
        <v>22</v>
      </c>
    </row>
    <row r="16" customFormat="false" ht="60" hidden="false" customHeight="false" outlineLevel="0" collapsed="false">
      <c r="A16" s="8" t="n">
        <f aca="false">A15+1</f>
        <v>14</v>
      </c>
      <c r="B16" s="9" t="s">
        <v>78</v>
      </c>
      <c r="C16" s="10" t="s">
        <v>54</v>
      </c>
      <c r="D16" s="11" t="s">
        <v>22</v>
      </c>
      <c r="E16" s="11" t="s">
        <v>22</v>
      </c>
      <c r="F16" s="9" t="s">
        <v>22</v>
      </c>
      <c r="G16" s="9" t="s">
        <v>23</v>
      </c>
      <c r="H16" s="9" t="s">
        <v>75</v>
      </c>
      <c r="I16" s="9" t="s">
        <v>68</v>
      </c>
      <c r="J16" s="11" t="s">
        <v>26</v>
      </c>
      <c r="K16" s="11" t="s">
        <v>76</v>
      </c>
      <c r="L16" s="11" t="s">
        <v>28</v>
      </c>
      <c r="M16" s="11" t="s">
        <v>22</v>
      </c>
      <c r="N16" s="11" t="s">
        <v>22</v>
      </c>
      <c r="O16" s="11" t="s">
        <v>70</v>
      </c>
      <c r="P16" s="11" t="s">
        <v>22</v>
      </c>
      <c r="Q16" s="11" t="s">
        <v>22</v>
      </c>
      <c r="R16" s="11" t="s">
        <v>77</v>
      </c>
      <c r="S16" s="12" t="s">
        <v>22</v>
      </c>
    </row>
    <row r="17" customFormat="false" ht="60" hidden="false" customHeight="false" outlineLevel="0" collapsed="false">
      <c r="A17" s="8" t="n">
        <f aca="false">A16+1</f>
        <v>15</v>
      </c>
      <c r="B17" s="9" t="s">
        <v>79</v>
      </c>
      <c r="C17" s="10" t="s">
        <v>54</v>
      </c>
      <c r="D17" s="11" t="s">
        <v>22</v>
      </c>
      <c r="E17" s="11" t="s">
        <v>22</v>
      </c>
      <c r="F17" s="9" t="s">
        <v>22</v>
      </c>
      <c r="G17" s="9" t="s">
        <v>80</v>
      </c>
      <c r="H17" s="9" t="s">
        <v>81</v>
      </c>
      <c r="I17" s="9" t="s">
        <v>82</v>
      </c>
      <c r="J17" s="11" t="s">
        <v>26</v>
      </c>
      <c r="K17" s="11" t="s">
        <v>83</v>
      </c>
      <c r="L17" s="11" t="s">
        <v>22</v>
      </c>
      <c r="M17" s="11" t="s">
        <v>22</v>
      </c>
      <c r="N17" s="11" t="s">
        <v>22</v>
      </c>
      <c r="O17" s="11" t="s">
        <v>56</v>
      </c>
      <c r="P17" s="11" t="s">
        <v>22</v>
      </c>
      <c r="Q17" s="11" t="s">
        <v>22</v>
      </c>
      <c r="R17" s="11" t="s">
        <v>84</v>
      </c>
      <c r="S17" s="12" t="s">
        <v>22</v>
      </c>
    </row>
    <row r="18" customFormat="false" ht="60" hidden="false" customHeight="false" outlineLevel="0" collapsed="false">
      <c r="A18" s="8" t="n">
        <f aca="false">A17+1</f>
        <v>16</v>
      </c>
      <c r="B18" s="9" t="s">
        <v>85</v>
      </c>
      <c r="C18" s="10" t="s">
        <v>86</v>
      </c>
      <c r="D18" s="11" t="s">
        <v>22</v>
      </c>
      <c r="E18" s="11" t="s">
        <v>22</v>
      </c>
      <c r="F18" s="9" t="s">
        <v>22</v>
      </c>
      <c r="G18" s="9" t="s">
        <v>80</v>
      </c>
      <c r="H18" s="9" t="s">
        <v>81</v>
      </c>
      <c r="I18" s="9" t="s">
        <v>82</v>
      </c>
      <c r="J18" s="11" t="s">
        <v>26</v>
      </c>
      <c r="K18" s="11" t="s">
        <v>87</v>
      </c>
      <c r="L18" s="11" t="s">
        <v>22</v>
      </c>
      <c r="M18" s="11" t="s">
        <v>22</v>
      </c>
      <c r="N18" s="11" t="s">
        <v>22</v>
      </c>
      <c r="O18" s="11" t="s">
        <v>56</v>
      </c>
      <c r="P18" s="11" t="s">
        <v>22</v>
      </c>
      <c r="Q18" s="11" t="s">
        <v>22</v>
      </c>
      <c r="R18" s="11" t="s">
        <v>88</v>
      </c>
      <c r="S18" s="12" t="s">
        <v>22</v>
      </c>
    </row>
    <row r="19" customFormat="false" ht="60" hidden="false" customHeight="false" outlineLevel="0" collapsed="false">
      <c r="A19" s="8" t="n">
        <f aca="false">A18+1</f>
        <v>17</v>
      </c>
      <c r="B19" s="9" t="s">
        <v>89</v>
      </c>
      <c r="C19" s="10" t="s">
        <v>86</v>
      </c>
      <c r="D19" s="11" t="s">
        <v>22</v>
      </c>
      <c r="E19" s="11" t="s">
        <v>22</v>
      </c>
      <c r="F19" s="9" t="s">
        <v>22</v>
      </c>
      <c r="G19" s="9" t="s">
        <v>80</v>
      </c>
      <c r="H19" s="9" t="s">
        <v>81</v>
      </c>
      <c r="I19" s="9" t="s">
        <v>90</v>
      </c>
      <c r="J19" s="11" t="s">
        <v>26</v>
      </c>
      <c r="K19" s="11" t="s">
        <v>91</v>
      </c>
      <c r="L19" s="11" t="s">
        <v>22</v>
      </c>
      <c r="M19" s="11" t="s">
        <v>22</v>
      </c>
      <c r="N19" s="11" t="s">
        <v>22</v>
      </c>
      <c r="O19" s="11" t="s">
        <v>56</v>
      </c>
      <c r="P19" s="11" t="s">
        <v>22</v>
      </c>
      <c r="Q19" s="11" t="s">
        <v>22</v>
      </c>
      <c r="R19" s="11" t="s">
        <v>92</v>
      </c>
      <c r="S19" s="12" t="s">
        <v>22</v>
      </c>
    </row>
    <row r="20" customFormat="false" ht="45" hidden="false" customHeight="false" outlineLevel="0" collapsed="false">
      <c r="A20" s="8" t="n">
        <f aca="false">A19+1</f>
        <v>18</v>
      </c>
      <c r="B20" s="9" t="s">
        <v>93</v>
      </c>
      <c r="C20" s="10" t="s">
        <v>94</v>
      </c>
      <c r="D20" s="11" t="s">
        <v>22</v>
      </c>
      <c r="E20" s="11" t="s">
        <v>22</v>
      </c>
      <c r="F20" s="9" t="s">
        <v>22</v>
      </c>
      <c r="G20" s="9" t="s">
        <v>23</v>
      </c>
      <c r="H20" s="9" t="s">
        <v>75</v>
      </c>
      <c r="I20" s="9" t="s">
        <v>68</v>
      </c>
      <c r="J20" s="11" t="s">
        <v>26</v>
      </c>
      <c r="K20" s="11" t="s">
        <v>95</v>
      </c>
      <c r="L20" s="11" t="s">
        <v>22</v>
      </c>
      <c r="M20" s="11" t="s">
        <v>22</v>
      </c>
      <c r="N20" s="11" t="s">
        <v>22</v>
      </c>
      <c r="O20" s="11" t="s">
        <v>96</v>
      </c>
      <c r="P20" s="11" t="s">
        <v>29</v>
      </c>
      <c r="Q20" s="11" t="s">
        <v>22</v>
      </c>
      <c r="R20" s="11" t="s">
        <v>97</v>
      </c>
      <c r="S20" s="12" t="s">
        <v>22</v>
      </c>
    </row>
    <row r="21" customFormat="false" ht="60" hidden="false" customHeight="false" outlineLevel="0" collapsed="false">
      <c r="A21" s="8" t="n">
        <f aca="false">A20+1</f>
        <v>19</v>
      </c>
      <c r="B21" s="9" t="s">
        <v>98</v>
      </c>
      <c r="C21" s="10" t="s">
        <v>54</v>
      </c>
      <c r="D21" s="11" t="s">
        <v>22</v>
      </c>
      <c r="E21" s="11" t="s">
        <v>22</v>
      </c>
      <c r="F21" s="9" t="s">
        <v>22</v>
      </c>
      <c r="G21" s="9" t="s">
        <v>23</v>
      </c>
      <c r="H21" s="9" t="s">
        <v>75</v>
      </c>
      <c r="I21" s="9" t="s">
        <v>68</v>
      </c>
      <c r="J21" s="11" t="s">
        <v>26</v>
      </c>
      <c r="K21" s="11" t="s">
        <v>95</v>
      </c>
      <c r="L21" s="11" t="s">
        <v>22</v>
      </c>
      <c r="M21" s="11" t="s">
        <v>22</v>
      </c>
      <c r="N21" s="11" t="s">
        <v>22</v>
      </c>
      <c r="O21" s="11" t="s">
        <v>96</v>
      </c>
      <c r="P21" s="11" t="s">
        <v>29</v>
      </c>
      <c r="Q21" s="11" t="s">
        <v>22</v>
      </c>
      <c r="R21" s="11" t="s">
        <v>97</v>
      </c>
      <c r="S21" s="12" t="s">
        <v>22</v>
      </c>
    </row>
  </sheetData>
  <autoFilter ref="A1:S21"/>
  <printOptions headings="false" gridLines="false" gridLinesSet="true" horizontalCentered="true" verticalCentered="false"/>
  <pageMargins left="0.708333333333333" right="0.708333333333333" top="0.747916666666667" bottom="0.747916666666667" header="0.511811023622047" footer="0.511811023622047"/>
  <pageSetup paperSize="8" scale="43"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V15"/>
  <sheetViews>
    <sheetView showFormulas="false" showGridLines="true" showRowColHeaders="true" showZeros="true" rightToLeft="false" tabSelected="false" showOutlineSymbols="true" defaultGridColor="true" view="pageBreakPreview" topLeftCell="A13" colorId="64" zoomScale="70" zoomScaleNormal="55" zoomScalePageLayoutView="70" workbookViewId="0">
      <selection pane="topLeft" activeCell="J15" activeCellId="0" sqref="J15"/>
    </sheetView>
  </sheetViews>
  <sheetFormatPr defaultColWidth="9.0546875" defaultRowHeight="13.2" customHeight="false" zeroHeight="false" outlineLevelRow="0" outlineLevelCol="0"/>
  <cols>
    <col collapsed="false" customWidth="true" hidden="false" outlineLevel="0" max="1" min="1" style="0" width="12.66"/>
    <col collapsed="false" customWidth="true" hidden="false" outlineLevel="0" max="2" min="2" style="1" width="32.33"/>
    <col collapsed="false" customWidth="true" hidden="false" outlineLevel="0" max="3" min="3" style="1" width="44.66"/>
    <col collapsed="false" customWidth="true" hidden="false" outlineLevel="0" max="4" min="4" style="0" width="44.66"/>
    <col collapsed="false" customWidth="true" hidden="false" outlineLevel="0" max="5" min="5" style="0" width="14.43"/>
    <col collapsed="false" customWidth="true" hidden="false" outlineLevel="0" max="6" min="6" style="0" width="28.1"/>
    <col collapsed="false" customWidth="true" hidden="false" outlineLevel="0" max="7" min="7" style="0" width="34.55"/>
    <col collapsed="false" customWidth="true" hidden="false" outlineLevel="0" max="8" min="8" style="0" width="21.1"/>
    <col collapsed="false" customWidth="true" hidden="false" outlineLevel="0" max="9" min="9" style="0" width="36.43"/>
    <col collapsed="false" customWidth="true" hidden="false" outlineLevel="0" max="10" min="10" style="0" width="42.55"/>
    <col collapsed="false" customWidth="true" hidden="false" outlineLevel="0" max="11" min="11" style="0" width="34.32"/>
    <col collapsed="false" customWidth="true" hidden="false" outlineLevel="0" max="12" min="12" style="0" width="55.32"/>
    <col collapsed="false" customWidth="true" hidden="false" outlineLevel="0" max="13" min="13" style="0" width="21.55"/>
    <col collapsed="false" customWidth="true" hidden="false" outlineLevel="0" max="14" min="14" style="0" width="12.1"/>
    <col collapsed="false" customWidth="true" hidden="false" outlineLevel="0" max="15" min="15" style="0" width="17.1"/>
    <col collapsed="false" customWidth="true" hidden="false" outlineLevel="0" max="16" min="16" style="0" width="33.55"/>
    <col collapsed="false" customWidth="true" hidden="false" outlineLevel="0" max="17" min="17" style="0" width="13.55"/>
    <col collapsed="false" customWidth="true" hidden="false" outlineLevel="0" max="18" min="18" style="0" width="14.99"/>
    <col collapsed="false" customWidth="true" hidden="false" outlineLevel="0" max="19" min="19" style="0" width="17.88"/>
    <col collapsed="false" customWidth="true" hidden="false" outlineLevel="0" max="20" min="20" style="1" width="18.55"/>
    <col collapsed="false" customWidth="true" hidden="true" outlineLevel="0" max="21" min="21" style="0" width="24.43"/>
    <col collapsed="false" customWidth="false" hidden="true" outlineLevel="0" max="22" min="22" style="0" width="9.06"/>
  </cols>
  <sheetData>
    <row r="2" customFormat="false" ht="39.75" hidden="false" customHeight="true" outlineLevel="0" collapsed="false">
      <c r="B2" s="13" t="s">
        <v>99</v>
      </c>
      <c r="C2" s="14" t="s">
        <v>100</v>
      </c>
      <c r="D2" s="14"/>
      <c r="E2" s="14"/>
      <c r="F2" s="14"/>
    </row>
    <row r="3" customFormat="false" ht="39.75" hidden="false" customHeight="true" outlineLevel="0" collapsed="false">
      <c r="B3" s="13" t="s">
        <v>101</v>
      </c>
      <c r="C3" s="14" t="s">
        <v>102</v>
      </c>
      <c r="D3" s="14"/>
      <c r="E3" s="14"/>
      <c r="F3" s="14"/>
    </row>
    <row r="4" customFormat="false" ht="39.75" hidden="false" customHeight="true" outlineLevel="0" collapsed="false">
      <c r="B4" s="13" t="s">
        <v>103</v>
      </c>
      <c r="C4" s="14" t="s">
        <v>104</v>
      </c>
      <c r="D4" s="14"/>
      <c r="E4" s="14"/>
      <c r="F4" s="14"/>
    </row>
    <row r="5" customFormat="false" ht="39.75" hidden="false" customHeight="true" outlineLevel="0" collapsed="false">
      <c r="B5" s="13" t="s">
        <v>105</v>
      </c>
      <c r="C5" s="14" t="s">
        <v>106</v>
      </c>
      <c r="D5" s="14"/>
      <c r="E5" s="14"/>
      <c r="F5" s="14"/>
    </row>
    <row r="6" customFormat="false" ht="13.8" hidden="false" customHeight="false" outlineLevel="0" collapsed="false"/>
    <row r="7" customFormat="false" ht="17.4" hidden="false" customHeight="false" outlineLevel="0" collapsed="false">
      <c r="A7" s="2" t="s">
        <v>0</v>
      </c>
      <c r="B7" s="3" t="s">
        <v>107</v>
      </c>
      <c r="C7" s="3" t="s">
        <v>108</v>
      </c>
      <c r="D7" s="3" t="s">
        <v>109</v>
      </c>
      <c r="E7" s="3" t="s">
        <v>3</v>
      </c>
      <c r="F7" s="4" t="s">
        <v>4</v>
      </c>
      <c r="G7" s="3" t="s">
        <v>5</v>
      </c>
      <c r="H7" s="3" t="s">
        <v>6</v>
      </c>
      <c r="I7" s="3" t="s">
        <v>7</v>
      </c>
      <c r="J7" s="3" t="s">
        <v>8</v>
      </c>
      <c r="K7" s="3" t="s">
        <v>9</v>
      </c>
      <c r="L7" s="3" t="s">
        <v>10</v>
      </c>
      <c r="M7" s="3" t="s">
        <v>11</v>
      </c>
      <c r="N7" s="3" t="s">
        <v>12</v>
      </c>
      <c r="O7" s="3" t="s">
        <v>13</v>
      </c>
      <c r="P7" s="3" t="s">
        <v>14</v>
      </c>
      <c r="Q7" s="3" t="s">
        <v>15</v>
      </c>
      <c r="R7" s="3" t="s">
        <v>16</v>
      </c>
      <c r="S7" s="3" t="s">
        <v>17</v>
      </c>
      <c r="T7" s="15" t="s">
        <v>18</v>
      </c>
      <c r="U7" s="16" t="s">
        <v>110</v>
      </c>
      <c r="V7" s="17"/>
    </row>
    <row r="8" customFormat="false" ht="17.4" hidden="false" customHeight="false" outlineLevel="0" collapsed="false">
      <c r="A8" s="18"/>
      <c r="B8" s="19"/>
      <c r="C8" s="19" t="s">
        <v>19</v>
      </c>
      <c r="D8" s="19"/>
      <c r="E8" s="19"/>
      <c r="F8" s="20"/>
      <c r="G8" s="19"/>
      <c r="H8" s="19"/>
      <c r="I8" s="19"/>
      <c r="J8" s="19"/>
      <c r="K8" s="19"/>
      <c r="L8" s="19"/>
      <c r="M8" s="19"/>
      <c r="N8" s="19"/>
      <c r="O8" s="19"/>
      <c r="P8" s="19"/>
      <c r="Q8" s="19"/>
      <c r="R8" s="19"/>
      <c r="S8" s="19"/>
      <c r="T8" s="21"/>
      <c r="U8" s="22"/>
      <c r="V8" s="17"/>
    </row>
    <row r="9" customFormat="false" ht="390" hidden="false" customHeight="false" outlineLevel="0" collapsed="false">
      <c r="A9" s="8" t="n">
        <v>1</v>
      </c>
      <c r="B9" s="9" t="s">
        <v>111</v>
      </c>
      <c r="C9" s="10" t="s">
        <v>112</v>
      </c>
      <c r="D9" s="10" t="s">
        <v>113</v>
      </c>
      <c r="E9" s="9" t="s">
        <v>114</v>
      </c>
      <c r="F9" s="9" t="s">
        <v>115</v>
      </c>
      <c r="G9" s="9" t="s">
        <v>116</v>
      </c>
      <c r="H9" s="9" t="s">
        <v>117</v>
      </c>
      <c r="I9" s="9" t="s">
        <v>118</v>
      </c>
      <c r="J9" s="9" t="s">
        <v>119</v>
      </c>
      <c r="K9" s="11" t="s">
        <v>120</v>
      </c>
      <c r="L9" s="11" t="s">
        <v>121</v>
      </c>
      <c r="M9" s="11" t="s">
        <v>122</v>
      </c>
      <c r="N9" s="11" t="s">
        <v>36</v>
      </c>
      <c r="O9" s="11" t="s">
        <v>123</v>
      </c>
      <c r="P9" s="11" t="s">
        <v>124</v>
      </c>
      <c r="Q9" s="11" t="n">
        <v>21</v>
      </c>
      <c r="R9" s="11" t="s">
        <v>22</v>
      </c>
      <c r="S9" s="11"/>
      <c r="T9" s="23" t="s">
        <v>22</v>
      </c>
      <c r="U9" s="17"/>
      <c r="V9" s="17"/>
    </row>
    <row r="10" customFormat="false" ht="285" hidden="false" customHeight="false" outlineLevel="0" collapsed="false">
      <c r="A10" s="8" t="e">
        <f aca="false">#REF!+1</f>
        <v>#REF!</v>
      </c>
      <c r="B10" s="9" t="s">
        <v>125</v>
      </c>
      <c r="C10" s="10" t="s">
        <v>126</v>
      </c>
      <c r="D10" s="10" t="s">
        <v>127</v>
      </c>
      <c r="E10" s="9" t="s">
        <v>128</v>
      </c>
      <c r="F10" s="9" t="s">
        <v>129</v>
      </c>
      <c r="G10" s="9" t="s">
        <v>130</v>
      </c>
      <c r="H10" s="9" t="s">
        <v>117</v>
      </c>
      <c r="I10" s="9" t="s">
        <v>131</v>
      </c>
      <c r="J10" s="9" t="s">
        <v>132</v>
      </c>
      <c r="K10" s="11" t="s">
        <v>120</v>
      </c>
      <c r="L10" s="11" t="s">
        <v>133</v>
      </c>
      <c r="M10" s="11" t="s">
        <v>134</v>
      </c>
      <c r="N10" s="11" t="s">
        <v>36</v>
      </c>
      <c r="O10" s="11" t="s">
        <v>135</v>
      </c>
      <c r="P10" s="11" t="s">
        <v>136</v>
      </c>
      <c r="Q10" s="11" t="n">
        <v>21</v>
      </c>
      <c r="R10" s="11" t="s">
        <v>22</v>
      </c>
      <c r="S10" s="11"/>
      <c r="T10" s="23" t="s">
        <v>22</v>
      </c>
      <c r="U10" s="17"/>
      <c r="V10" s="17"/>
    </row>
    <row r="11" customFormat="false" ht="255" hidden="false" customHeight="false" outlineLevel="0" collapsed="false">
      <c r="A11" s="8" t="e">
        <f aca="false">#REF!+1</f>
        <v>#REF!</v>
      </c>
      <c r="B11" s="9" t="s">
        <v>137</v>
      </c>
      <c r="C11" s="10" t="s">
        <v>138</v>
      </c>
      <c r="D11" s="10" t="s">
        <v>139</v>
      </c>
      <c r="E11" s="9" t="s">
        <v>128</v>
      </c>
      <c r="F11" s="9" t="s">
        <v>129</v>
      </c>
      <c r="G11" s="9" t="s">
        <v>140</v>
      </c>
      <c r="H11" s="9" t="s">
        <v>141</v>
      </c>
      <c r="I11" s="9" t="s">
        <v>142</v>
      </c>
      <c r="J11" s="9" t="s">
        <v>143</v>
      </c>
      <c r="K11" s="11" t="s">
        <v>120</v>
      </c>
      <c r="L11" s="11" t="s">
        <v>144</v>
      </c>
      <c r="M11" s="11" t="s">
        <v>134</v>
      </c>
      <c r="N11" s="11" t="s">
        <v>36</v>
      </c>
      <c r="O11" s="11" t="s">
        <v>145</v>
      </c>
      <c r="P11" s="11" t="s">
        <v>146</v>
      </c>
      <c r="Q11" s="11" t="n">
        <v>21</v>
      </c>
      <c r="R11" s="11" t="s">
        <v>22</v>
      </c>
      <c r="S11" s="11"/>
      <c r="T11" s="23"/>
      <c r="U11" s="17"/>
      <c r="V11" s="17"/>
    </row>
    <row r="12" customFormat="false" ht="285" hidden="false" customHeight="false" outlineLevel="0" collapsed="false">
      <c r="A12" s="8" t="e">
        <f aca="false">#REF!+1</f>
        <v>#REF!</v>
      </c>
      <c r="B12" s="9" t="s">
        <v>147</v>
      </c>
      <c r="C12" s="10" t="s">
        <v>148</v>
      </c>
      <c r="D12" s="10" t="s">
        <v>149</v>
      </c>
      <c r="E12" s="9" t="s">
        <v>128</v>
      </c>
      <c r="F12" s="9" t="s">
        <v>129</v>
      </c>
      <c r="G12" s="9" t="s">
        <v>140</v>
      </c>
      <c r="H12" s="9" t="s">
        <v>141</v>
      </c>
      <c r="I12" s="9" t="s">
        <v>142</v>
      </c>
      <c r="J12" s="9" t="s">
        <v>143</v>
      </c>
      <c r="K12" s="11" t="s">
        <v>120</v>
      </c>
      <c r="L12" s="11" t="s">
        <v>144</v>
      </c>
      <c r="M12" s="11" t="s">
        <v>134</v>
      </c>
      <c r="N12" s="11" t="s">
        <v>36</v>
      </c>
      <c r="O12" s="11" t="s">
        <v>145</v>
      </c>
      <c r="P12" s="11" t="s">
        <v>146</v>
      </c>
      <c r="Q12" s="11" t="n">
        <v>21</v>
      </c>
      <c r="R12" s="11" t="s">
        <v>22</v>
      </c>
      <c r="S12" s="11"/>
      <c r="T12" s="23"/>
      <c r="U12" s="17"/>
      <c r="V12" s="17"/>
    </row>
    <row r="13" customFormat="false" ht="60" hidden="false" customHeight="false" outlineLevel="0" collapsed="false">
      <c r="A13" s="8" t="e">
        <f aca="false">A12+1</f>
        <v>#REF!</v>
      </c>
      <c r="B13" s="9" t="s">
        <v>93</v>
      </c>
      <c r="C13" s="10" t="s">
        <v>150</v>
      </c>
      <c r="D13" s="10" t="s">
        <v>150</v>
      </c>
      <c r="E13" s="9" t="s">
        <v>128</v>
      </c>
      <c r="F13" s="9" t="s">
        <v>129</v>
      </c>
      <c r="G13" s="9" t="s">
        <v>151</v>
      </c>
      <c r="H13" s="9" t="s">
        <v>141</v>
      </c>
      <c r="I13" s="9" t="s">
        <v>152</v>
      </c>
      <c r="J13" s="9" t="s">
        <v>153</v>
      </c>
      <c r="K13" s="11" t="s">
        <v>120</v>
      </c>
      <c r="L13" s="11" t="s">
        <v>154</v>
      </c>
      <c r="M13" s="11" t="s">
        <v>134</v>
      </c>
      <c r="N13" s="11" t="s">
        <v>36</v>
      </c>
      <c r="O13" s="11" t="s">
        <v>135</v>
      </c>
      <c r="P13" s="11" t="s">
        <v>155</v>
      </c>
      <c r="Q13" s="11" t="n">
        <v>21</v>
      </c>
      <c r="R13" s="11" t="s">
        <v>22</v>
      </c>
      <c r="S13" s="11"/>
      <c r="T13" s="23"/>
      <c r="U13" s="17"/>
      <c r="V13" s="17"/>
    </row>
    <row r="14" customFormat="false" ht="45" hidden="false" customHeight="false" outlineLevel="0" collapsed="false">
      <c r="A14" s="8" t="e">
        <f aca="false">A13+1</f>
        <v>#REF!</v>
      </c>
      <c r="B14" s="9" t="s">
        <v>156</v>
      </c>
      <c r="C14" s="9" t="s">
        <v>157</v>
      </c>
      <c r="D14" s="9" t="s">
        <v>157</v>
      </c>
      <c r="E14" s="9" t="s">
        <v>158</v>
      </c>
      <c r="F14" s="9" t="s">
        <v>159</v>
      </c>
      <c r="G14" s="9" t="s">
        <v>160</v>
      </c>
      <c r="H14" s="9" t="s">
        <v>161</v>
      </c>
      <c r="I14" s="9" t="s">
        <v>162</v>
      </c>
      <c r="J14" s="9" t="s">
        <v>153</v>
      </c>
      <c r="K14" s="11" t="s">
        <v>120</v>
      </c>
      <c r="L14" s="11" t="s">
        <v>163</v>
      </c>
      <c r="M14" s="11" t="s">
        <v>134</v>
      </c>
      <c r="N14" s="11" t="s">
        <v>36</v>
      </c>
      <c r="O14" s="11" t="s">
        <v>135</v>
      </c>
      <c r="P14" s="11" t="s">
        <v>164</v>
      </c>
      <c r="Q14" s="11" t="n">
        <v>21</v>
      </c>
      <c r="R14" s="11" t="s">
        <v>22</v>
      </c>
      <c r="S14" s="11"/>
      <c r="T14" s="23" t="s">
        <v>22</v>
      </c>
      <c r="U14" s="17"/>
      <c r="V14" s="17"/>
    </row>
    <row r="15" customFormat="false" ht="390" hidden="false" customHeight="false" outlineLevel="0" collapsed="false">
      <c r="A15" s="8" t="e">
        <f aca="false">A14+1</f>
        <v>#REF!</v>
      </c>
      <c r="B15" s="9" t="s">
        <v>165</v>
      </c>
      <c r="C15" s="10" t="s">
        <v>166</v>
      </c>
      <c r="D15" s="10" t="s">
        <v>167</v>
      </c>
      <c r="E15" s="9" t="s">
        <v>128</v>
      </c>
      <c r="F15" s="9" t="s">
        <v>129</v>
      </c>
      <c r="G15" s="9" t="s">
        <v>168</v>
      </c>
      <c r="H15" s="9" t="s">
        <v>169</v>
      </c>
      <c r="I15" s="9" t="s">
        <v>162</v>
      </c>
      <c r="J15" s="9" t="s">
        <v>153</v>
      </c>
      <c r="K15" s="11" t="s">
        <v>120</v>
      </c>
      <c r="L15" s="11" t="s">
        <v>170</v>
      </c>
      <c r="M15" s="11" t="s">
        <v>134</v>
      </c>
      <c r="N15" s="11" t="s">
        <v>171</v>
      </c>
      <c r="O15" s="11" t="s">
        <v>145</v>
      </c>
      <c r="P15" s="11" t="s">
        <v>172</v>
      </c>
      <c r="Q15" s="11" t="n">
        <v>19</v>
      </c>
      <c r="R15" s="11" t="s">
        <v>22</v>
      </c>
      <c r="S15" s="11"/>
      <c r="T15" s="23" t="s">
        <v>22</v>
      </c>
      <c r="U15" s="17"/>
      <c r="V15" s="17"/>
    </row>
  </sheetData>
  <autoFilter ref="A7:U15"/>
  <mergeCells count="4">
    <mergeCell ref="C2:F2"/>
    <mergeCell ref="C3:F3"/>
    <mergeCell ref="C4:F4"/>
    <mergeCell ref="C5:F5"/>
  </mergeCells>
  <printOptions headings="false" gridLines="false" gridLinesSet="true" horizontalCentered="true" verticalCentered="false"/>
  <pageMargins left="0.708333333333333" right="0.708333333333333" top="1.05694444444444" bottom="0.747916666666667" header="0.511811023622047" footer="0.511811023622047"/>
  <pageSetup paperSize="8" scale="57"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20" man="true" max="65535" min="0"/>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W28"/>
  <sheetViews>
    <sheetView showFormulas="false" showGridLines="false" showRowColHeaders="true" showZeros="true" rightToLeft="false" tabSelected="true" showOutlineSymbols="true" defaultGridColor="true" view="pageBreakPreview" topLeftCell="A1" colorId="64" zoomScale="70" zoomScaleNormal="85" zoomScalePageLayoutView="70" workbookViewId="0">
      <selection pane="topLeft" activeCell="E13" activeCellId="0" sqref="E13"/>
    </sheetView>
  </sheetViews>
  <sheetFormatPr defaultColWidth="9.1015625" defaultRowHeight="13.2" customHeight="false" zeroHeight="false" outlineLevelRow="0" outlineLevelCol="0"/>
  <cols>
    <col collapsed="false" customWidth="true" hidden="false" outlineLevel="0" max="1" min="1" style="1" width="32.33"/>
    <col collapsed="false" customWidth="true" hidden="false" outlineLevel="0" max="2" min="2" style="1" width="1.55"/>
    <col collapsed="false" customWidth="true" hidden="false" outlineLevel="0" max="3" min="3" style="1" width="71.99"/>
    <col collapsed="false" customWidth="true" hidden="false" outlineLevel="0" max="4" min="4" style="1" width="60.21"/>
    <col collapsed="false" customWidth="true" hidden="false" outlineLevel="0" max="5" min="5" style="1" width="28.33"/>
    <col collapsed="false" customWidth="false" hidden="false" outlineLevel="0" max="257" min="6" style="1" width="9.1"/>
  </cols>
  <sheetData>
    <row r="1" customFormat="false" ht="51.75" hidden="false" customHeight="true" outlineLevel="0" collapsed="false">
      <c r="A1" s="24" t="s">
        <v>173</v>
      </c>
      <c r="B1" s="24"/>
      <c r="C1" s="24"/>
      <c r="D1" s="24"/>
      <c r="E1" s="24"/>
    </row>
    <row r="2" customFormat="false" ht="13.2" hidden="false" customHeight="false" outlineLevel="0" collapsed="false">
      <c r="A2" s="25"/>
      <c r="B2" s="26"/>
      <c r="C2" s="26"/>
      <c r="D2" s="26"/>
      <c r="E2" s="27"/>
    </row>
    <row r="3" customFormat="false" ht="43.5" hidden="false" customHeight="true" outlineLevel="0" collapsed="false">
      <c r="A3" s="28" t="s">
        <v>99</v>
      </c>
      <c r="B3" s="29" t="s">
        <v>100</v>
      </c>
      <c r="C3" s="29"/>
      <c r="D3" s="29"/>
      <c r="E3" s="29"/>
      <c r="G3" s="30"/>
    </row>
    <row r="4" customFormat="false" ht="43.5" hidden="false" customHeight="true" outlineLevel="0" collapsed="false">
      <c r="A4" s="28" t="s">
        <v>101</v>
      </c>
      <c r="B4" s="29" t="s">
        <v>102</v>
      </c>
      <c r="C4" s="29"/>
      <c r="D4" s="29"/>
      <c r="E4" s="29"/>
      <c r="G4" s="30"/>
    </row>
    <row r="5" customFormat="false" ht="43.5" hidden="false" customHeight="true" outlineLevel="0" collapsed="false">
      <c r="A5" s="28" t="s">
        <v>103</v>
      </c>
      <c r="B5" s="29" t="s">
        <v>104</v>
      </c>
      <c r="C5" s="29"/>
      <c r="D5" s="29"/>
      <c r="E5" s="29"/>
      <c r="G5" s="30"/>
    </row>
    <row r="6" customFormat="false" ht="43.5" hidden="false" customHeight="true" outlineLevel="0" collapsed="false">
      <c r="A6" s="28" t="s">
        <v>105</v>
      </c>
      <c r="B6" s="29" t="s">
        <v>174</v>
      </c>
      <c r="C6" s="29"/>
      <c r="D6" s="29"/>
      <c r="E6" s="29"/>
      <c r="G6" s="30"/>
    </row>
    <row r="7" customFormat="false" ht="13.2" hidden="false" customHeight="false" outlineLevel="0" collapsed="false">
      <c r="A7" s="25"/>
      <c r="B7" s="26"/>
      <c r="C7" s="26"/>
      <c r="D7" s="26"/>
      <c r="E7" s="27"/>
    </row>
    <row r="8" customFormat="false" ht="27" hidden="false" customHeight="true" outlineLevel="0" collapsed="false">
      <c r="A8" s="31" t="s">
        <v>175</v>
      </c>
      <c r="B8" s="31"/>
      <c r="C8" s="31"/>
      <c r="D8" s="31"/>
      <c r="E8" s="31"/>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c r="IU8" s="32"/>
      <c r="IV8" s="32"/>
      <c r="IW8" s="32"/>
    </row>
    <row r="9" customFormat="false" ht="8.25" hidden="false" customHeight="true" outlineLevel="0" collapsed="false">
      <c r="A9" s="25"/>
      <c r="B9" s="26"/>
      <c r="C9" s="33"/>
      <c r="D9" s="33"/>
      <c r="E9" s="34"/>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c r="HT9" s="32"/>
      <c r="HU9" s="32"/>
      <c r="HV9" s="32"/>
      <c r="HW9" s="32"/>
      <c r="HX9" s="32"/>
      <c r="HY9" s="32"/>
      <c r="HZ9" s="32"/>
      <c r="IA9" s="32"/>
      <c r="IB9" s="32"/>
      <c r="IC9" s="32"/>
      <c r="ID9" s="32"/>
      <c r="IE9" s="32"/>
      <c r="IF9" s="32"/>
      <c r="IG9" s="32"/>
      <c r="IH9" s="32"/>
      <c r="II9" s="32"/>
      <c r="IJ9" s="32"/>
      <c r="IK9" s="32"/>
      <c r="IL9" s="32"/>
      <c r="IM9" s="32"/>
      <c r="IN9" s="32"/>
      <c r="IO9" s="32"/>
      <c r="IP9" s="32"/>
      <c r="IQ9" s="32"/>
      <c r="IR9" s="32"/>
      <c r="IS9" s="32"/>
      <c r="IT9" s="32"/>
      <c r="IU9" s="32"/>
      <c r="IV9" s="32"/>
      <c r="IW9" s="32"/>
    </row>
    <row r="10" customFormat="false" ht="28.5" hidden="false" customHeight="true" outlineLevel="0" collapsed="false">
      <c r="A10" s="35" t="s">
        <v>176</v>
      </c>
      <c r="B10" s="35"/>
      <c r="C10" s="35"/>
      <c r="D10" s="36" t="s">
        <v>111</v>
      </c>
      <c r="E10" s="36"/>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row>
    <row r="11" customFormat="false" ht="9.75" hidden="false" customHeight="true" outlineLevel="0" collapsed="false">
      <c r="A11" s="37"/>
      <c r="B11" s="38"/>
      <c r="C11" s="39"/>
      <c r="D11" s="39"/>
      <c r="E11" s="40"/>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c r="IW11" s="32"/>
    </row>
    <row r="12" customFormat="false" ht="18" hidden="false" customHeight="false" outlineLevel="0" collapsed="false">
      <c r="A12" s="41" t="s">
        <v>177</v>
      </c>
      <c r="B12" s="42"/>
      <c r="C12" s="43" t="s">
        <v>178</v>
      </c>
      <c r="D12" s="43" t="s">
        <v>179</v>
      </c>
      <c r="E12" s="44" t="s">
        <v>180</v>
      </c>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c r="IW12" s="32"/>
    </row>
    <row r="13" customFormat="false" ht="334.8" hidden="false" customHeight="true" outlineLevel="0" collapsed="false">
      <c r="A13" s="45" t="s">
        <v>181</v>
      </c>
      <c r="B13" s="46"/>
      <c r="C13" s="46" t="str">
        <f aca="false">VLOOKUP($D$10,'MASTER-2'!$B$9:$T$215,2,0)</f>
        <v>Explosion-proof LED moisture-proof diffuser luminaire, ATEX zone 2/22 with IP66 protection rating and Impact strength: IK10. Luminaire input power: 8 W, electronic ballast with LED converter. Cover and basic diffuser made of impact-resistant polycarbonate, temperature- and UV-resistant, made as a single injection-moulded piece. LED service life lasts 100000 h before luminous flux is reduced to 85% of the initial value. Chromaticity tolerance (initial MacAdam): 3. Luminaire luminous flux: 1171 lm, Luminaire efficacy: 146 lm/W. Colour rendering Ra &gt; 80, colour temperature 4000 K. Luminaire with symmetric distribution (medium beam). Mounting via included V2A standard spring clips to ceilings or walls. Explosion protection is guaranteed in ambient temperature: -20°C to +45°C. The luminaire is suitable for use in Zone 2 and 22 hazardous areas according to FTZU 23 ATEX 0077 (ATEX type examination) and according to EN/IEC 60079-0:2018, EN/IEC 60079-15:2017 and EN 60079-31:2014 (Ex II 3G Ex nR IIC T6 Gc/ II 3D Ex tc IIIC T80°C Dc). Silicone-free luminaire. Protection class: SC1, 850°C glow-wire tested. Dimensions: 670 x 155 x 105 mm; weight: 1.76 kg.</v>
      </c>
      <c r="D13" s="46" t="str">
        <f aca="false">VLOOKUP($D$10,'MASTER-2'!$B$9:$T$215,3,0)</f>
        <v>49w; 7690w; 159lm/w; 4000K; length 1610mm; surface mounted Ex-plosion proof linear weather proof light fixture with polyester resin body  and polycarbonate diffuser with rated IP66; IK10; zone -1,2,21,22 Ex db eb ib op is IIC T4 Gb</v>
      </c>
      <c r="E13" s="47"/>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c r="IW13" s="32"/>
    </row>
    <row r="14" customFormat="false" ht="29.4" hidden="false" customHeight="true" outlineLevel="0" collapsed="false">
      <c r="A14" s="45" t="s">
        <v>3</v>
      </c>
      <c r="B14" s="48"/>
      <c r="C14" s="46" t="s">
        <v>182</v>
      </c>
      <c r="D14" s="46" t="str">
        <f aca="false">VLOOKUP($D$10,'MASTER-2'!$B$9:$T$215,4,0)</f>
        <v>Stahl</v>
      </c>
      <c r="E14" s="47"/>
    </row>
    <row r="15" customFormat="false" ht="29.4" hidden="false" customHeight="true" outlineLevel="0" collapsed="false">
      <c r="A15" s="45" t="s">
        <v>4</v>
      </c>
      <c r="B15" s="48"/>
      <c r="C15" s="46" t="s">
        <v>182</v>
      </c>
      <c r="D15" s="46" t="str">
        <f aca="false">VLOOKUP($D$10,'MASTER-2'!$B$9:$T$215,5,0)</f>
        <v>India</v>
      </c>
      <c r="E15" s="47"/>
    </row>
    <row r="16" customFormat="false" ht="29.4" hidden="false" customHeight="true" outlineLevel="0" collapsed="false">
      <c r="A16" s="45" t="s">
        <v>5</v>
      </c>
      <c r="B16" s="48"/>
      <c r="C16" s="46" t="s">
        <v>182</v>
      </c>
      <c r="D16" s="46" t="str">
        <f aca="false">VLOOKUP($D$10,'MASTER-2'!$B$9:$T$215,6,0)</f>
        <v>6002/4168-0201-152-1110-11 -8500</v>
      </c>
      <c r="E16" s="47"/>
    </row>
    <row r="17" customFormat="false" ht="29.4" hidden="false" customHeight="true" outlineLevel="0" collapsed="false">
      <c r="A17" s="45" t="s">
        <v>6</v>
      </c>
      <c r="B17" s="48"/>
      <c r="C17" s="46" t="s">
        <v>183</v>
      </c>
      <c r="D17" s="46" t="str">
        <f aca="false">VLOOKUP($D$10,'MASTER-2'!$B$9:$T$215,7,0)</f>
        <v>Surface Mounted </v>
      </c>
      <c r="E17" s="47"/>
    </row>
    <row r="18" customFormat="false" ht="29.4" hidden="false" customHeight="true" outlineLevel="0" collapsed="false">
      <c r="A18" s="45" t="s">
        <v>7</v>
      </c>
      <c r="B18" s="48"/>
      <c r="C18" s="46" t="s">
        <v>184</v>
      </c>
      <c r="D18" s="46" t="str">
        <f aca="false">VLOOKUP($D$10,'MASTER-2'!$B$9:$T$215,8,0)</f>
        <v>polyester resin body </v>
      </c>
      <c r="E18" s="47"/>
    </row>
    <row r="19" customFormat="false" ht="29.4" hidden="false" customHeight="true" outlineLevel="0" collapsed="false">
      <c r="A19" s="45" t="s">
        <v>8</v>
      </c>
      <c r="B19" s="48"/>
      <c r="C19" s="46" t="s">
        <v>185</v>
      </c>
      <c r="D19" s="46" t="str">
        <f aca="false">VLOOKUP($D$10,'MASTER-2'!$B$9:$T$215,9,0)</f>
        <v>Polycarbonate diffuser</v>
      </c>
      <c r="E19" s="47"/>
    </row>
    <row r="20" customFormat="false" ht="29.4" hidden="false" customHeight="true" outlineLevel="0" collapsed="false">
      <c r="A20" s="45" t="s">
        <v>9</v>
      </c>
      <c r="B20" s="48"/>
      <c r="C20" s="46" t="s">
        <v>186</v>
      </c>
      <c r="D20" s="46" t="str">
        <f aca="false">VLOOKUP($D$10,'MASTER-2'!$B$9:$T$215,10,0)</f>
        <v>LED Driver</v>
      </c>
      <c r="E20" s="47"/>
    </row>
    <row r="21" customFormat="false" ht="29.4" hidden="false" customHeight="true" outlineLevel="0" collapsed="false">
      <c r="A21" s="45" t="s">
        <v>10</v>
      </c>
      <c r="B21" s="49"/>
      <c r="C21" s="46" t="s">
        <v>187</v>
      </c>
      <c r="D21" s="46" t="str">
        <f aca="false">VLOOKUP($D$10,'MASTER-2'!$B$9:$T$215,11,0)</f>
        <v>49w / 7690lm / 4000k / 159lm/w</v>
      </c>
      <c r="E21" s="47"/>
    </row>
    <row r="22" customFormat="false" ht="29.4" hidden="false" customHeight="true" outlineLevel="0" collapsed="false">
      <c r="A22" s="45" t="s">
        <v>11</v>
      </c>
      <c r="B22" s="50"/>
      <c r="C22" s="46" t="s">
        <v>188</v>
      </c>
      <c r="D22" s="46" t="str">
        <f aca="false">VLOOKUP($D$10,'MASTER-2'!$B$9:$T$215,12,0)</f>
        <v>Emergency Kit </v>
      </c>
      <c r="E22" s="47"/>
    </row>
    <row r="23" customFormat="false" ht="29.4" hidden="false" customHeight="true" outlineLevel="0" collapsed="false">
      <c r="A23" s="45" t="s">
        <v>12</v>
      </c>
      <c r="B23" s="50"/>
      <c r="C23" s="46" t="s">
        <v>36</v>
      </c>
      <c r="D23" s="46" t="str">
        <f aca="false">VLOOKUP($D$10,'MASTER-2'!$B$9:$T$215,13,0)</f>
        <v>CRI 80</v>
      </c>
      <c r="E23" s="47"/>
    </row>
    <row r="24" customFormat="false" ht="29.4" hidden="false" customHeight="true" outlineLevel="0" collapsed="false">
      <c r="A24" s="45" t="s">
        <v>13</v>
      </c>
      <c r="B24" s="50"/>
      <c r="C24" s="46" t="s">
        <v>189</v>
      </c>
      <c r="D24" s="46" t="str">
        <f aca="false">VLOOKUP($D$10,'MASTER-2'!$B$9:$T$215,14,0)</f>
        <v>L90 / 100000Hrs</v>
      </c>
      <c r="E24" s="47"/>
    </row>
    <row r="25" customFormat="false" ht="29.4" hidden="false" customHeight="true" outlineLevel="0" collapsed="false">
      <c r="A25" s="45" t="s">
        <v>14</v>
      </c>
      <c r="B25" s="50"/>
      <c r="C25" s="46" t="s">
        <v>124</v>
      </c>
      <c r="D25" s="46" t="str">
        <f aca="false">VLOOKUP($D$10,'MASTER-2'!$B$9:$T$215,15,0)</f>
        <v>IP66 / IK10</v>
      </c>
      <c r="E25" s="47"/>
    </row>
    <row r="26" customFormat="false" ht="29.4" hidden="false" customHeight="true" outlineLevel="0" collapsed="false">
      <c r="A26" s="45" t="s">
        <v>15</v>
      </c>
      <c r="B26" s="50"/>
      <c r="C26" s="46" t="str">
        <f aca="false">VLOOKUP($D$10,'MASTER-2'!$B$9:$T$215,17,0)</f>
        <v>-</v>
      </c>
      <c r="D26" s="46" t="n">
        <f aca="false">VLOOKUP($D$10,'MASTER-2'!$B$9:$T$215,16,0)</f>
        <v>21</v>
      </c>
      <c r="E26" s="47"/>
    </row>
    <row r="27" customFormat="false" ht="29.4" hidden="false" customHeight="true" outlineLevel="0" collapsed="false">
      <c r="A27" s="45" t="s">
        <v>16</v>
      </c>
      <c r="B27" s="50"/>
      <c r="C27" s="46" t="s">
        <v>190</v>
      </c>
      <c r="D27" s="46" t="str">
        <f aca="false">VLOOKUP($D$10,'MASTER-2'!$B$9:$T$215,17,0)</f>
        <v>-</v>
      </c>
      <c r="E27" s="47"/>
    </row>
    <row r="28" customFormat="false" ht="16.2" hidden="false" customHeight="false" outlineLevel="0" collapsed="false">
      <c r="A28" s="51" t="s">
        <v>18</v>
      </c>
      <c r="B28" s="52"/>
      <c r="C28" s="53"/>
      <c r="D28" s="53"/>
      <c r="E28" s="54"/>
    </row>
  </sheetData>
  <mergeCells count="9">
    <mergeCell ref="A1:E1"/>
    <mergeCell ref="B3:E3"/>
    <mergeCell ref="B4:E4"/>
    <mergeCell ref="B5:E5"/>
    <mergeCell ref="B6:E6"/>
    <mergeCell ref="A8:E8"/>
    <mergeCell ref="A10:C10"/>
    <mergeCell ref="D10:E10"/>
    <mergeCell ref="C28:D28"/>
  </mergeCells>
  <printOptions headings="false" gridLines="false" gridLinesSet="true" horizontalCentered="true" verticalCentered="false"/>
  <pageMargins left="0.559722222222222" right="0.320138888888889" top="1" bottom="1" header="0.511811023622047" footer="0.511811023622047"/>
  <pageSetup paperSize="1" scale="49"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W28"/>
  <sheetViews>
    <sheetView showFormulas="false" showGridLines="false" showRowColHeaders="true" showZeros="true" rightToLeft="false" tabSelected="false" showOutlineSymbols="true" defaultGridColor="true" view="pageBreakPreview" topLeftCell="A9" colorId="64" zoomScale="70" zoomScaleNormal="85" zoomScalePageLayoutView="70" workbookViewId="0">
      <selection pane="topLeft" activeCell="E13" activeCellId="0" sqref="E13"/>
    </sheetView>
  </sheetViews>
  <sheetFormatPr defaultColWidth="9.1015625" defaultRowHeight="13.2" customHeight="false" zeroHeight="false" outlineLevelRow="0" outlineLevelCol="0"/>
  <cols>
    <col collapsed="false" customWidth="true" hidden="false" outlineLevel="0" max="1" min="1" style="1" width="32.33"/>
    <col collapsed="false" customWidth="true" hidden="false" outlineLevel="0" max="2" min="2" style="1" width="1.55"/>
    <col collapsed="false" customWidth="true" hidden="false" outlineLevel="0" max="3" min="3" style="1" width="69.21"/>
    <col collapsed="false" customWidth="true" hidden="false" outlineLevel="0" max="4" min="4" style="1" width="60.1"/>
    <col collapsed="false" customWidth="true" hidden="false" outlineLevel="0" max="5" min="5" style="1" width="28.87"/>
    <col collapsed="false" customWidth="false" hidden="false" outlineLevel="0" max="257" min="6" style="1" width="9.1"/>
  </cols>
  <sheetData>
    <row r="1" customFormat="false" ht="51.75" hidden="false" customHeight="true" outlineLevel="0" collapsed="false">
      <c r="A1" s="24" t="s">
        <v>173</v>
      </c>
      <c r="B1" s="24"/>
      <c r="C1" s="24"/>
      <c r="D1" s="24"/>
      <c r="E1" s="24"/>
    </row>
    <row r="2" customFormat="false" ht="13.2" hidden="false" customHeight="false" outlineLevel="0" collapsed="false">
      <c r="A2" s="25"/>
      <c r="B2" s="26"/>
      <c r="C2" s="26"/>
      <c r="D2" s="26"/>
      <c r="E2" s="27"/>
    </row>
    <row r="3" customFormat="false" ht="43.5" hidden="false" customHeight="true" outlineLevel="0" collapsed="false">
      <c r="A3" s="28" t="s">
        <v>99</v>
      </c>
      <c r="B3" s="29" t="s">
        <v>100</v>
      </c>
      <c r="C3" s="29"/>
      <c r="D3" s="29"/>
      <c r="E3" s="29"/>
      <c r="G3" s="30"/>
    </row>
    <row r="4" customFormat="false" ht="43.5" hidden="false" customHeight="true" outlineLevel="0" collapsed="false">
      <c r="A4" s="28" t="s">
        <v>101</v>
      </c>
      <c r="B4" s="29" t="s">
        <v>102</v>
      </c>
      <c r="C4" s="29"/>
      <c r="D4" s="29"/>
      <c r="E4" s="29"/>
      <c r="G4" s="30"/>
    </row>
    <row r="5" customFormat="false" ht="43.5" hidden="false" customHeight="true" outlineLevel="0" collapsed="false">
      <c r="A5" s="28" t="s">
        <v>103</v>
      </c>
      <c r="B5" s="29" t="s">
        <v>104</v>
      </c>
      <c r="C5" s="29"/>
      <c r="D5" s="29"/>
      <c r="E5" s="29"/>
      <c r="G5" s="30"/>
    </row>
    <row r="6" customFormat="false" ht="43.5" hidden="false" customHeight="true" outlineLevel="0" collapsed="false">
      <c r="A6" s="28" t="s">
        <v>105</v>
      </c>
      <c r="B6" s="29" t="s">
        <v>174</v>
      </c>
      <c r="C6" s="29"/>
      <c r="D6" s="29"/>
      <c r="E6" s="29"/>
      <c r="G6" s="30"/>
    </row>
    <row r="7" customFormat="false" ht="13.2" hidden="false" customHeight="false" outlineLevel="0" collapsed="false">
      <c r="A7" s="25"/>
      <c r="B7" s="26"/>
      <c r="C7" s="26"/>
      <c r="D7" s="26"/>
      <c r="E7" s="27"/>
    </row>
    <row r="8" customFormat="false" ht="27" hidden="false" customHeight="true" outlineLevel="0" collapsed="false">
      <c r="A8" s="31" t="s">
        <v>175</v>
      </c>
      <c r="B8" s="31"/>
      <c r="C8" s="31"/>
      <c r="D8" s="31"/>
      <c r="E8" s="31"/>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c r="IU8" s="32"/>
      <c r="IV8" s="32"/>
      <c r="IW8" s="32"/>
    </row>
    <row r="9" customFormat="false" ht="8.25" hidden="false" customHeight="true" outlineLevel="0" collapsed="false">
      <c r="A9" s="25"/>
      <c r="B9" s="26"/>
      <c r="C9" s="33"/>
      <c r="D9" s="33"/>
      <c r="E9" s="34"/>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c r="HT9" s="32"/>
      <c r="HU9" s="32"/>
      <c r="HV9" s="32"/>
      <c r="HW9" s="32"/>
      <c r="HX9" s="32"/>
      <c r="HY9" s="32"/>
      <c r="HZ9" s="32"/>
      <c r="IA9" s="32"/>
      <c r="IB9" s="32"/>
      <c r="IC9" s="32"/>
      <c r="ID9" s="32"/>
      <c r="IE9" s="32"/>
      <c r="IF9" s="32"/>
      <c r="IG9" s="32"/>
      <c r="IH9" s="32"/>
      <c r="II9" s="32"/>
      <c r="IJ9" s="32"/>
      <c r="IK9" s="32"/>
      <c r="IL9" s="32"/>
      <c r="IM9" s="32"/>
      <c r="IN9" s="32"/>
      <c r="IO9" s="32"/>
      <c r="IP9" s="32"/>
      <c r="IQ9" s="32"/>
      <c r="IR9" s="32"/>
      <c r="IS9" s="32"/>
      <c r="IT9" s="32"/>
      <c r="IU9" s="32"/>
      <c r="IV9" s="32"/>
      <c r="IW9" s="32"/>
    </row>
    <row r="10" customFormat="false" ht="28.5" hidden="false" customHeight="true" outlineLevel="0" collapsed="false">
      <c r="A10" s="35" t="s">
        <v>176</v>
      </c>
      <c r="B10" s="35"/>
      <c r="C10" s="35"/>
      <c r="D10" s="36" t="s">
        <v>125</v>
      </c>
      <c r="E10" s="36"/>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row>
    <row r="11" customFormat="false" ht="9.75" hidden="false" customHeight="true" outlineLevel="0" collapsed="false">
      <c r="A11" s="37"/>
      <c r="B11" s="38"/>
      <c r="C11" s="39"/>
      <c r="D11" s="39"/>
      <c r="E11" s="40"/>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c r="IW11" s="32"/>
    </row>
    <row r="12" customFormat="false" ht="18" hidden="false" customHeight="false" outlineLevel="0" collapsed="false">
      <c r="A12" s="41" t="s">
        <v>177</v>
      </c>
      <c r="B12" s="42"/>
      <c r="C12" s="43" t="s">
        <v>178</v>
      </c>
      <c r="D12" s="43" t="s">
        <v>179</v>
      </c>
      <c r="E12" s="44" t="s">
        <v>180</v>
      </c>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c r="IW12" s="32"/>
    </row>
    <row r="13" customFormat="false" ht="328.2" hidden="false" customHeight="true" outlineLevel="0" collapsed="false">
      <c r="A13" s="45" t="s">
        <v>181</v>
      </c>
      <c r="B13" s="46"/>
      <c r="C13" s="46" t="str">
        <f aca="false">VLOOKUP($D$10,'MASTER-2'!$B$9:$T$215,2,0)</f>
        <v>Tube Luminaire with ø 90 mm, Luminaire luminous flux: 5389 lm, Luminaire efficacy: 131 lm/W. Colour rendering Ra &gt; 80, colour temperature 4000 K. Luminaire input power: 41 W ; LED service life lasts 50000 h before luminous flux is reduced to 80% of the initial value. Chromaticity tolerance (initial MacAdam): 3. Suitable for ceiling mounting and horizontal or vertical wall mounting.  Housing of impact-resistant (IK08) polymethylmethacrylate (PMMA), satin, and end caps of polyamide (PA). Age-resistant silicon seal (SI). Gear tray of double coated sheet steel, white. Flexible mounting with stainless steel fixing clips. Electrical connection via cable gland with integrated pressure equalisation element and plug connection terminal. IFS/BRC-compliant.IPX9K. SC1. Glow-wire tested: PMMA 650°C. Dimensions: Ø90 x 1260 mm weight: 3.5 kg.</v>
      </c>
      <c r="D13" s="46" t="str">
        <f aca="false">VLOOKUP($D$10,'MASTER-2'!$B$9:$T$215,3,0)</f>
        <v>39W; 5000lm; 4000K; 130lm/w; surface mounted tublar light fixture with acrylate housing material and cover materials with rated IP67; IK10; SDCM&lt;3; 50000hrs</v>
      </c>
      <c r="E13" s="47"/>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c r="IW13" s="32"/>
    </row>
    <row r="14" customFormat="false" ht="29.4" hidden="false" customHeight="true" outlineLevel="0" collapsed="false">
      <c r="A14" s="45" t="s">
        <v>3</v>
      </c>
      <c r="B14" s="48"/>
      <c r="C14" s="46" t="s">
        <v>182</v>
      </c>
      <c r="D14" s="46" t="str">
        <f aca="false">VLOOKUP($D$10,'MASTER-2'!$B$9:$T$215,4,0)</f>
        <v>Philips</v>
      </c>
      <c r="E14" s="47"/>
    </row>
    <row r="15" customFormat="false" ht="29.4" hidden="false" customHeight="true" outlineLevel="0" collapsed="false">
      <c r="A15" s="45" t="s">
        <v>4</v>
      </c>
      <c r="B15" s="48"/>
      <c r="C15" s="46" t="s">
        <v>182</v>
      </c>
      <c r="D15" s="46" t="str">
        <f aca="false">VLOOKUP($D$10,'MASTER-2'!$B$9:$T$215,5,0)</f>
        <v>China</v>
      </c>
      <c r="E15" s="47"/>
    </row>
    <row r="16" customFormat="false" ht="29.4" hidden="false" customHeight="true" outlineLevel="0" collapsed="false">
      <c r="A16" s="45" t="s">
        <v>5</v>
      </c>
      <c r="B16" s="48"/>
      <c r="C16" s="46" t="s">
        <v>182</v>
      </c>
      <c r="D16" s="46" t="str">
        <f aca="false">VLOOKUP($D$10,'MASTER-2'!$B$9:$T$215,6,0)</f>
        <v>WT228C LED50S/840 PSU L1200 TW</v>
      </c>
      <c r="E16" s="47"/>
    </row>
    <row r="17" customFormat="false" ht="29.4" hidden="false" customHeight="true" outlineLevel="0" collapsed="false">
      <c r="A17" s="45" t="s">
        <v>6</v>
      </c>
      <c r="B17" s="48"/>
      <c r="C17" s="46" t="s">
        <v>183</v>
      </c>
      <c r="D17" s="46" t="str">
        <f aca="false">VLOOKUP($D$10,'MASTER-2'!$B$9:$T$215,7,0)</f>
        <v>Surface Mounted </v>
      </c>
      <c r="E17" s="47"/>
    </row>
    <row r="18" customFormat="false" ht="29.4" hidden="false" customHeight="true" outlineLevel="0" collapsed="false">
      <c r="A18" s="45" t="s">
        <v>7</v>
      </c>
      <c r="B18" s="48"/>
      <c r="C18" s="55" t="s">
        <v>191</v>
      </c>
      <c r="D18" s="46" t="str">
        <f aca="false">VLOOKUP($D$10,'MASTER-2'!$B$9:$T$215,8,0)</f>
        <v>Acrylate housing material</v>
      </c>
      <c r="E18" s="47"/>
    </row>
    <row r="19" customFormat="false" ht="29.4" hidden="false" customHeight="true" outlineLevel="0" collapsed="false">
      <c r="A19" s="45" t="s">
        <v>8</v>
      </c>
      <c r="B19" s="48"/>
      <c r="C19" s="46" t="s">
        <v>192</v>
      </c>
      <c r="D19" s="46" t="str">
        <f aca="false">VLOOKUP($D$10,'MASTER-2'!$B$9:$T$215,9,0)</f>
        <v>Acrylate diffuser</v>
      </c>
      <c r="E19" s="47"/>
    </row>
    <row r="20" customFormat="false" ht="29.4" hidden="false" customHeight="true" outlineLevel="0" collapsed="false">
      <c r="A20" s="45" t="s">
        <v>9</v>
      </c>
      <c r="B20" s="48"/>
      <c r="C20" s="46" t="s">
        <v>120</v>
      </c>
      <c r="D20" s="46" t="str">
        <f aca="false">VLOOKUP($D$10,'MASTER-2'!$B$9:$T$215,10,0)</f>
        <v>LED Driver</v>
      </c>
      <c r="E20" s="47"/>
    </row>
    <row r="21" customFormat="false" ht="29.4" hidden="false" customHeight="true" outlineLevel="0" collapsed="false">
      <c r="A21" s="45" t="s">
        <v>10</v>
      </c>
      <c r="B21" s="49"/>
      <c r="C21" s="46" t="s">
        <v>193</v>
      </c>
      <c r="D21" s="46" t="str">
        <f aca="false">VLOOKUP($D$10,'MASTER-2'!$B$9:$T$215,11,0)</f>
        <v>39w / 5000lm / 4000k / 130lm/w</v>
      </c>
      <c r="E21" s="47"/>
    </row>
    <row r="22" customFormat="false" ht="29.4" hidden="false" customHeight="true" outlineLevel="0" collapsed="false">
      <c r="A22" s="45" t="s">
        <v>11</v>
      </c>
      <c r="B22" s="50"/>
      <c r="C22" s="46" t="str">
        <f aca="false">VLOOKUP($D$10,'MASTER-2'!$B$9:$T$215,17,0)</f>
        <v>-</v>
      </c>
      <c r="D22" s="46" t="str">
        <f aca="false">VLOOKUP($D$10,'MASTER-2'!$B$9:$T$215,12,0)</f>
        <v>ROP approved EM Kit / Tridonic, Austria</v>
      </c>
      <c r="E22" s="47"/>
    </row>
    <row r="23" customFormat="false" ht="29.4" hidden="false" customHeight="true" outlineLevel="0" collapsed="false">
      <c r="A23" s="45" t="s">
        <v>12</v>
      </c>
      <c r="B23" s="50"/>
      <c r="C23" s="46" t="str">
        <f aca="false">VLOOKUP($D$10,'MASTER-2'!$B$9:$T$215,13,0)</f>
        <v>CRI 80</v>
      </c>
      <c r="D23" s="46" t="str">
        <f aca="false">VLOOKUP($D$10,'MASTER-2'!$B$9:$T$215,13,0)</f>
        <v>CRI 80</v>
      </c>
      <c r="E23" s="47"/>
    </row>
    <row r="24" customFormat="false" ht="29.4" hidden="false" customHeight="true" outlineLevel="0" collapsed="false">
      <c r="A24" s="45" t="s">
        <v>13</v>
      </c>
      <c r="B24" s="50"/>
      <c r="C24" s="46" t="s">
        <v>194</v>
      </c>
      <c r="D24" s="46" t="str">
        <f aca="false">VLOOKUP($D$10,'MASTER-2'!$B$9:$T$215,14,0)</f>
        <v>L80 / 50000Hrs</v>
      </c>
      <c r="E24" s="47"/>
    </row>
    <row r="25" customFormat="false" ht="39" hidden="false" customHeight="true" outlineLevel="0" collapsed="false">
      <c r="A25" s="45" t="s">
        <v>14</v>
      </c>
      <c r="B25" s="50"/>
      <c r="C25" s="46" t="s">
        <v>195</v>
      </c>
      <c r="D25" s="46" t="str">
        <f aca="false">VLOOKUP($D$10,'MASTER-2'!$B$9:$T$215,15,0)</f>
        <v>IP67 / IK10</v>
      </c>
      <c r="E25" s="47"/>
    </row>
    <row r="26" customFormat="false" ht="29.4" hidden="false" customHeight="true" outlineLevel="0" collapsed="false">
      <c r="A26" s="45" t="s">
        <v>15</v>
      </c>
      <c r="B26" s="50"/>
      <c r="C26" s="46" t="n">
        <v>19</v>
      </c>
      <c r="D26" s="46" t="n">
        <f aca="false">VLOOKUP($D$10,'MASTER-2'!$B$9:$T$215,16,0)</f>
        <v>21</v>
      </c>
      <c r="E26" s="47"/>
    </row>
    <row r="27" customFormat="false" ht="29.4" hidden="false" customHeight="true" outlineLevel="0" collapsed="false">
      <c r="A27" s="45" t="s">
        <v>16</v>
      </c>
      <c r="B27" s="50"/>
      <c r="C27" s="46" t="s">
        <v>196</v>
      </c>
      <c r="D27" s="46" t="str">
        <f aca="false">VLOOKUP($D$10,'MASTER-2'!$B$9:$T$215,17,0)</f>
        <v>-</v>
      </c>
      <c r="E27" s="47"/>
    </row>
    <row r="28" customFormat="false" ht="16.2" hidden="false" customHeight="false" outlineLevel="0" collapsed="false">
      <c r="A28" s="51" t="s">
        <v>18</v>
      </c>
      <c r="B28" s="52"/>
      <c r="C28" s="53"/>
      <c r="D28" s="53"/>
      <c r="E28" s="54"/>
    </row>
  </sheetData>
  <mergeCells count="9">
    <mergeCell ref="A1:E1"/>
    <mergeCell ref="B3:E3"/>
    <mergeCell ref="B4:E4"/>
    <mergeCell ref="B5:E5"/>
    <mergeCell ref="B6:E6"/>
    <mergeCell ref="A8:E8"/>
    <mergeCell ref="A10:C10"/>
    <mergeCell ref="D10:E10"/>
    <mergeCell ref="C28:D28"/>
  </mergeCells>
  <printOptions headings="false" gridLines="false" gridLinesSet="true" horizontalCentered="true" verticalCentered="false"/>
  <pageMargins left="0.559722222222222" right="0.320138888888889" top="1" bottom="1" header="0.511811023622047" footer="0.511811023622047"/>
  <pageSetup paperSize="1" scale="49"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W28"/>
  <sheetViews>
    <sheetView showFormulas="false" showGridLines="false" showRowColHeaders="true" showZeros="true" rightToLeft="false" tabSelected="false" showOutlineSymbols="true" defaultGridColor="true" view="pageBreakPreview" topLeftCell="A10" colorId="64" zoomScale="70" zoomScaleNormal="85" zoomScalePageLayoutView="70" workbookViewId="0">
      <selection pane="topLeft" activeCell="E13" activeCellId="0" sqref="E13"/>
    </sheetView>
  </sheetViews>
  <sheetFormatPr defaultColWidth="9.1015625" defaultRowHeight="13.2" customHeight="false" zeroHeight="false" outlineLevelRow="0" outlineLevelCol="0"/>
  <cols>
    <col collapsed="false" customWidth="true" hidden="false" outlineLevel="0" max="1" min="1" style="1" width="32.33"/>
    <col collapsed="false" customWidth="true" hidden="false" outlineLevel="0" max="2" min="2" style="1" width="1.55"/>
    <col collapsed="false" customWidth="true" hidden="false" outlineLevel="0" max="3" min="3" style="1" width="67.77"/>
    <col collapsed="false" customWidth="true" hidden="false" outlineLevel="0" max="4" min="4" style="1" width="54.1"/>
    <col collapsed="false" customWidth="true" hidden="false" outlineLevel="0" max="5" min="5" style="1" width="23.87"/>
    <col collapsed="false" customWidth="false" hidden="false" outlineLevel="0" max="257" min="6" style="1" width="9.1"/>
  </cols>
  <sheetData>
    <row r="1" customFormat="false" ht="51.75" hidden="false" customHeight="true" outlineLevel="0" collapsed="false">
      <c r="A1" s="24" t="s">
        <v>173</v>
      </c>
      <c r="B1" s="24"/>
      <c r="C1" s="24"/>
      <c r="D1" s="24"/>
      <c r="E1" s="24"/>
    </row>
    <row r="2" customFormat="false" ht="13.2" hidden="false" customHeight="false" outlineLevel="0" collapsed="false">
      <c r="A2" s="25"/>
      <c r="B2" s="26"/>
      <c r="C2" s="26"/>
      <c r="D2" s="26"/>
      <c r="E2" s="27"/>
    </row>
    <row r="3" customFormat="false" ht="43.5" hidden="false" customHeight="true" outlineLevel="0" collapsed="false">
      <c r="A3" s="28" t="s">
        <v>99</v>
      </c>
      <c r="B3" s="29" t="s">
        <v>100</v>
      </c>
      <c r="C3" s="29"/>
      <c r="D3" s="29"/>
      <c r="E3" s="29"/>
      <c r="G3" s="30"/>
    </row>
    <row r="4" customFormat="false" ht="43.5" hidden="false" customHeight="true" outlineLevel="0" collapsed="false">
      <c r="A4" s="28" t="s">
        <v>101</v>
      </c>
      <c r="B4" s="29" t="s">
        <v>102</v>
      </c>
      <c r="C4" s="29"/>
      <c r="D4" s="29"/>
      <c r="E4" s="29"/>
      <c r="G4" s="30"/>
    </row>
    <row r="5" customFormat="false" ht="43.5" hidden="false" customHeight="true" outlineLevel="0" collapsed="false">
      <c r="A5" s="28" t="s">
        <v>103</v>
      </c>
      <c r="B5" s="29" t="s">
        <v>104</v>
      </c>
      <c r="C5" s="29"/>
      <c r="D5" s="29"/>
      <c r="E5" s="29"/>
      <c r="G5" s="30"/>
    </row>
    <row r="6" customFormat="false" ht="43.5" hidden="false" customHeight="true" outlineLevel="0" collapsed="false">
      <c r="A6" s="28" t="s">
        <v>105</v>
      </c>
      <c r="B6" s="29" t="s">
        <v>174</v>
      </c>
      <c r="C6" s="29"/>
      <c r="D6" s="29"/>
      <c r="E6" s="29"/>
      <c r="G6" s="30"/>
    </row>
    <row r="7" customFormat="false" ht="13.2" hidden="false" customHeight="false" outlineLevel="0" collapsed="false">
      <c r="A7" s="25"/>
      <c r="B7" s="26"/>
      <c r="C7" s="26"/>
      <c r="D7" s="26"/>
      <c r="E7" s="27"/>
    </row>
    <row r="8" customFormat="false" ht="27" hidden="false" customHeight="true" outlineLevel="0" collapsed="false">
      <c r="A8" s="31" t="s">
        <v>175</v>
      </c>
      <c r="B8" s="31"/>
      <c r="C8" s="31"/>
      <c r="D8" s="31"/>
      <c r="E8" s="31"/>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c r="IU8" s="32"/>
      <c r="IV8" s="32"/>
      <c r="IW8" s="32"/>
    </row>
    <row r="9" customFormat="false" ht="8.25" hidden="false" customHeight="true" outlineLevel="0" collapsed="false">
      <c r="A9" s="25"/>
      <c r="B9" s="26"/>
      <c r="C9" s="33"/>
      <c r="D9" s="33"/>
      <c r="E9" s="34"/>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c r="HT9" s="32"/>
      <c r="HU9" s="32"/>
      <c r="HV9" s="32"/>
      <c r="HW9" s="32"/>
      <c r="HX9" s="32"/>
      <c r="HY9" s="32"/>
      <c r="HZ9" s="32"/>
      <c r="IA9" s="32"/>
      <c r="IB9" s="32"/>
      <c r="IC9" s="32"/>
      <c r="ID9" s="32"/>
      <c r="IE9" s="32"/>
      <c r="IF9" s="32"/>
      <c r="IG9" s="32"/>
      <c r="IH9" s="32"/>
      <c r="II9" s="32"/>
      <c r="IJ9" s="32"/>
      <c r="IK9" s="32"/>
      <c r="IL9" s="32"/>
      <c r="IM9" s="32"/>
      <c r="IN9" s="32"/>
      <c r="IO9" s="32"/>
      <c r="IP9" s="32"/>
      <c r="IQ9" s="32"/>
      <c r="IR9" s="32"/>
      <c r="IS9" s="32"/>
      <c r="IT9" s="32"/>
      <c r="IU9" s="32"/>
      <c r="IV9" s="32"/>
      <c r="IW9" s="32"/>
    </row>
    <row r="10" customFormat="false" ht="28.5" hidden="false" customHeight="true" outlineLevel="0" collapsed="false">
      <c r="A10" s="35" t="s">
        <v>176</v>
      </c>
      <c r="B10" s="35"/>
      <c r="C10" s="35"/>
      <c r="D10" s="36" t="s">
        <v>137</v>
      </c>
      <c r="E10" s="36"/>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row>
    <row r="11" customFormat="false" ht="9.75" hidden="false" customHeight="true" outlineLevel="0" collapsed="false">
      <c r="A11" s="37"/>
      <c r="B11" s="38"/>
      <c r="C11" s="39"/>
      <c r="D11" s="39"/>
      <c r="E11" s="40"/>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c r="IW11" s="32"/>
    </row>
    <row r="12" customFormat="false" ht="18" hidden="false" customHeight="false" outlineLevel="0" collapsed="false">
      <c r="A12" s="41" t="s">
        <v>177</v>
      </c>
      <c r="B12" s="42"/>
      <c r="C12" s="43" t="s">
        <v>178</v>
      </c>
      <c r="D12" s="43" t="s">
        <v>179</v>
      </c>
      <c r="E12" s="44" t="s">
        <v>180</v>
      </c>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c r="IW12" s="32"/>
    </row>
    <row r="13" customFormat="false" ht="328.2" hidden="false" customHeight="true" outlineLevel="0" collapsed="false">
      <c r="A13" s="45" t="s">
        <v>181</v>
      </c>
      <c r="B13" s="46"/>
      <c r="C13" s="46" t="str">
        <f aca="false">VLOOKUP($D$10,'MASTER-2'!$B$9:$T$215,2,0)</f>
        <v>A high efficient and sustainable, surface mounted LED downlight. Fixed output LED driver with DC functionality, adjustable 50-100%, NFC configurable. Body: Die-cast aluminium. Diffuser: polycarbonate, smooth reflector in satinbrite finish with wide beam and additional ultrasonic welded clear polycarbonate cover IP54. Trim: high quality, highly reflective polycarbonate. Class I electrical, IP54_IP20. Installation plate to be fitted directly to ceiling, for mounting via BESA box or wire suspension use available accessory. Housing mounts to installation plate with twist and lock bayonet mechanism. Complete with 4000K LEDDimensions: Ø125 x 126 mm Luminaire input power: 15.6 W Luminaire luminous flux: 1423 lmLuminaire efficacy: 91 lm/W Weight: 1.19 kg</v>
      </c>
      <c r="D13" s="46" t="str">
        <f aca="false">VLOOKUP($D$10,'MASTER-2'!$B$9:$T$215,3,0)</f>
        <v>19w; 2000lm; 4000k; 105lm/w; Dia 160mm; LED surface mounted light fixture with aluminium diecast body and gloss diffuser with rated IP20; IK04; 50000hrs@L70</v>
      </c>
      <c r="E13" s="47"/>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c r="IW13" s="32"/>
    </row>
    <row r="14" customFormat="false" ht="29.4" hidden="false" customHeight="true" outlineLevel="0" collapsed="false">
      <c r="A14" s="45" t="s">
        <v>3</v>
      </c>
      <c r="B14" s="48"/>
      <c r="C14" s="46" t="s">
        <v>182</v>
      </c>
      <c r="D14" s="46" t="str">
        <f aca="false">VLOOKUP($D$10,'MASTER-2'!$B$9:$T$215,4,0)</f>
        <v>Philips</v>
      </c>
      <c r="E14" s="47"/>
    </row>
    <row r="15" customFormat="false" ht="29.4" hidden="false" customHeight="true" outlineLevel="0" collapsed="false">
      <c r="A15" s="45" t="s">
        <v>4</v>
      </c>
      <c r="B15" s="48"/>
      <c r="C15" s="46" t="s">
        <v>182</v>
      </c>
      <c r="D15" s="46" t="str">
        <f aca="false">VLOOKUP($D$10,'MASTER-2'!$B$9:$T$215,5,0)</f>
        <v>China</v>
      </c>
      <c r="E15" s="47"/>
    </row>
    <row r="16" customFormat="false" ht="29.4" hidden="false" customHeight="true" outlineLevel="0" collapsed="false">
      <c r="A16" s="45" t="s">
        <v>5</v>
      </c>
      <c r="B16" s="48"/>
      <c r="C16" s="46" t="s">
        <v>182</v>
      </c>
      <c r="D16" s="46" t="str">
        <f aca="false">VLOOKUP($D$10,'MASTER-2'!$B$9:$T$215,6,0)</f>
        <v>SM293C LED20/840PSU WH</v>
      </c>
      <c r="E16" s="47"/>
    </row>
    <row r="17" customFormat="false" ht="29.4" hidden="false" customHeight="true" outlineLevel="0" collapsed="false">
      <c r="A17" s="45" t="s">
        <v>6</v>
      </c>
      <c r="B17" s="48"/>
      <c r="C17" s="46" t="s">
        <v>197</v>
      </c>
      <c r="D17" s="46" t="str">
        <f aca="false">VLOOKUP($D$10,'MASTER-2'!$B$9:$T$215,7,0)</f>
        <v>Surface</v>
      </c>
      <c r="E17" s="47"/>
    </row>
    <row r="18" customFormat="false" ht="29.4" hidden="false" customHeight="true" outlineLevel="0" collapsed="false">
      <c r="A18" s="45" t="s">
        <v>7</v>
      </c>
      <c r="B18" s="48"/>
      <c r="C18" s="46" t="s">
        <v>198</v>
      </c>
      <c r="D18" s="46" t="str">
        <f aca="false">VLOOKUP($D$10,'MASTER-2'!$B$9:$T$215,8,0)</f>
        <v>Aluminium diecast Body</v>
      </c>
      <c r="E18" s="47"/>
    </row>
    <row r="19" customFormat="false" ht="29.4" hidden="false" customHeight="true" outlineLevel="0" collapsed="false">
      <c r="A19" s="45" t="s">
        <v>8</v>
      </c>
      <c r="B19" s="48"/>
      <c r="C19" s="46" t="s">
        <v>185</v>
      </c>
      <c r="D19" s="46" t="str">
        <f aca="false">VLOOKUP($D$10,'MASTER-2'!$B$9:$T$215,9,0)</f>
        <v>Golss Finish diffuser</v>
      </c>
      <c r="E19" s="47"/>
    </row>
    <row r="20" customFormat="false" ht="29.4" hidden="false" customHeight="true" outlineLevel="0" collapsed="false">
      <c r="A20" s="45" t="s">
        <v>9</v>
      </c>
      <c r="B20" s="48"/>
      <c r="C20" s="46" t="s">
        <v>120</v>
      </c>
      <c r="D20" s="46" t="str">
        <f aca="false">VLOOKUP($D$10,'MASTER-2'!$B$9:$T$215,10,0)</f>
        <v>LED Driver</v>
      </c>
      <c r="E20" s="47"/>
    </row>
    <row r="21" customFormat="false" ht="29.4" hidden="false" customHeight="true" outlineLevel="0" collapsed="false">
      <c r="A21" s="45" t="s">
        <v>10</v>
      </c>
      <c r="B21" s="49"/>
      <c r="C21" s="46" t="s">
        <v>199</v>
      </c>
      <c r="D21" s="46" t="str">
        <f aca="false">VLOOKUP($D$10,'MASTER-2'!$B$9:$T$215,11,0)</f>
        <v>19w / 2000lm / 4000k / 105lm/w</v>
      </c>
      <c r="E21" s="47"/>
    </row>
    <row r="22" customFormat="false" ht="29.4" hidden="false" customHeight="true" outlineLevel="0" collapsed="false">
      <c r="A22" s="45" t="s">
        <v>11</v>
      </c>
      <c r="B22" s="50"/>
      <c r="C22" s="46" t="s">
        <v>182</v>
      </c>
      <c r="D22" s="46" t="str">
        <f aca="false">VLOOKUP($D$10,'MASTER-2'!$B$9:$T$215,12,0)</f>
        <v>ROP approved EM Kit / Tridonic, Austria</v>
      </c>
      <c r="E22" s="47"/>
    </row>
    <row r="23" customFormat="false" ht="29.4" hidden="false" customHeight="true" outlineLevel="0" collapsed="false">
      <c r="A23" s="45" t="s">
        <v>12</v>
      </c>
      <c r="B23" s="50"/>
      <c r="C23" s="46" t="s">
        <v>182</v>
      </c>
      <c r="D23" s="46" t="str">
        <f aca="false">VLOOKUP($D$10,'MASTER-2'!$B$9:$T$215,13,0)</f>
        <v>CRI 80</v>
      </c>
      <c r="E23" s="47"/>
    </row>
    <row r="24" customFormat="false" ht="29.4" hidden="false" customHeight="true" outlineLevel="0" collapsed="false">
      <c r="A24" s="45" t="s">
        <v>13</v>
      </c>
      <c r="B24" s="50"/>
      <c r="C24" s="46" t="s">
        <v>182</v>
      </c>
      <c r="D24" s="46" t="str">
        <f aca="false">VLOOKUP($D$10,'MASTER-2'!$B$9:$T$215,14,0)</f>
        <v>L70 / 50000Hrs</v>
      </c>
      <c r="E24" s="47"/>
    </row>
    <row r="25" customFormat="false" ht="29.4" hidden="false" customHeight="true" outlineLevel="0" collapsed="false">
      <c r="A25" s="45" t="s">
        <v>14</v>
      </c>
      <c r="B25" s="50"/>
      <c r="C25" s="46" t="s">
        <v>200</v>
      </c>
      <c r="D25" s="46" t="str">
        <f aca="false">VLOOKUP($D$10,'MASTER-2'!$B$9:$T$215,15,0)</f>
        <v>IP20 / IK04</v>
      </c>
      <c r="E25" s="47"/>
    </row>
    <row r="26" customFormat="false" ht="29.4" hidden="false" customHeight="true" outlineLevel="0" collapsed="false">
      <c r="A26" s="45" t="s">
        <v>15</v>
      </c>
      <c r="B26" s="50"/>
      <c r="C26" s="46" t="s">
        <v>182</v>
      </c>
      <c r="D26" s="46" t="n">
        <f aca="false">VLOOKUP($D$10,'MASTER-2'!$B$9:$T$215,16,0)</f>
        <v>21</v>
      </c>
      <c r="E26" s="47"/>
    </row>
    <row r="27" customFormat="false" ht="29.4" hidden="false" customHeight="true" outlineLevel="0" collapsed="false">
      <c r="A27" s="45" t="s">
        <v>16</v>
      </c>
      <c r="B27" s="50"/>
      <c r="C27" s="46" t="s">
        <v>201</v>
      </c>
      <c r="D27" s="46" t="str">
        <f aca="false">VLOOKUP($D$10,'MASTER-2'!$B$9:$T$215,17,0)</f>
        <v>-</v>
      </c>
      <c r="E27" s="47"/>
    </row>
    <row r="28" customFormat="false" ht="16.2" hidden="false" customHeight="false" outlineLevel="0" collapsed="false">
      <c r="A28" s="51" t="s">
        <v>18</v>
      </c>
      <c r="B28" s="52"/>
      <c r="C28" s="53"/>
      <c r="D28" s="53"/>
      <c r="E28" s="54"/>
    </row>
  </sheetData>
  <mergeCells count="9">
    <mergeCell ref="A1:E1"/>
    <mergeCell ref="B3:E3"/>
    <mergeCell ref="B4:E4"/>
    <mergeCell ref="B5:E5"/>
    <mergeCell ref="B6:E6"/>
    <mergeCell ref="A8:E8"/>
    <mergeCell ref="A10:C10"/>
    <mergeCell ref="D10:E10"/>
    <mergeCell ref="C28:D28"/>
  </mergeCells>
  <printOptions headings="false" gridLines="false" gridLinesSet="true" horizontalCentered="true" verticalCentered="false"/>
  <pageMargins left="0.559722222222222" right="0.320138888888889" top="1" bottom="1" header="0.511811023622047" footer="0.511811023622047"/>
  <pageSetup paperSize="1" scale="49"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W28"/>
  <sheetViews>
    <sheetView showFormulas="false" showGridLines="false" showRowColHeaders="true" showZeros="true" rightToLeft="false" tabSelected="false" showOutlineSymbols="true" defaultGridColor="true" view="pageBreakPreview" topLeftCell="A17" colorId="64" zoomScale="70" zoomScaleNormal="85" zoomScalePageLayoutView="70" workbookViewId="0">
      <selection pane="topLeft" activeCell="E13" activeCellId="0" sqref="E13"/>
    </sheetView>
  </sheetViews>
  <sheetFormatPr defaultColWidth="9.1015625" defaultRowHeight="13.2" customHeight="false" zeroHeight="false" outlineLevelRow="0" outlineLevelCol="0"/>
  <cols>
    <col collapsed="false" customWidth="true" hidden="false" outlineLevel="0" max="1" min="1" style="1" width="32.33"/>
    <col collapsed="false" customWidth="true" hidden="false" outlineLevel="0" max="2" min="2" style="1" width="1.55"/>
    <col collapsed="false" customWidth="true" hidden="false" outlineLevel="0" max="3" min="3" style="1" width="71.99"/>
    <col collapsed="false" customWidth="true" hidden="false" outlineLevel="0" max="4" min="4" style="1" width="61.87"/>
    <col collapsed="false" customWidth="true" hidden="false" outlineLevel="0" max="5" min="5" style="1" width="26.99"/>
    <col collapsed="false" customWidth="false" hidden="false" outlineLevel="0" max="257" min="6" style="1" width="9.1"/>
  </cols>
  <sheetData>
    <row r="1" customFormat="false" ht="51.75" hidden="false" customHeight="true" outlineLevel="0" collapsed="false">
      <c r="A1" s="24" t="s">
        <v>173</v>
      </c>
      <c r="B1" s="24"/>
      <c r="C1" s="24"/>
      <c r="D1" s="24"/>
      <c r="E1" s="24"/>
    </row>
    <row r="2" customFormat="false" ht="13.2" hidden="false" customHeight="false" outlineLevel="0" collapsed="false">
      <c r="A2" s="25"/>
      <c r="B2" s="26"/>
      <c r="C2" s="26"/>
      <c r="D2" s="26"/>
      <c r="E2" s="27"/>
    </row>
    <row r="3" customFormat="false" ht="43.5" hidden="false" customHeight="true" outlineLevel="0" collapsed="false">
      <c r="A3" s="28" t="s">
        <v>99</v>
      </c>
      <c r="B3" s="29" t="s">
        <v>100</v>
      </c>
      <c r="C3" s="29"/>
      <c r="D3" s="29"/>
      <c r="E3" s="29"/>
      <c r="G3" s="30"/>
    </row>
    <row r="4" customFormat="false" ht="43.5" hidden="false" customHeight="true" outlineLevel="0" collapsed="false">
      <c r="A4" s="28" t="s">
        <v>101</v>
      </c>
      <c r="B4" s="29" t="s">
        <v>102</v>
      </c>
      <c r="C4" s="29"/>
      <c r="D4" s="29"/>
      <c r="E4" s="29"/>
      <c r="G4" s="30"/>
    </row>
    <row r="5" customFormat="false" ht="43.5" hidden="false" customHeight="true" outlineLevel="0" collapsed="false">
      <c r="A5" s="28" t="s">
        <v>103</v>
      </c>
      <c r="B5" s="29" t="s">
        <v>104</v>
      </c>
      <c r="C5" s="29"/>
      <c r="D5" s="29"/>
      <c r="E5" s="29"/>
      <c r="G5" s="30"/>
    </row>
    <row r="6" customFormat="false" ht="43.5" hidden="false" customHeight="true" outlineLevel="0" collapsed="false">
      <c r="A6" s="28" t="s">
        <v>105</v>
      </c>
      <c r="B6" s="29" t="s">
        <v>174</v>
      </c>
      <c r="C6" s="29"/>
      <c r="D6" s="29"/>
      <c r="E6" s="29"/>
      <c r="G6" s="30"/>
    </row>
    <row r="7" customFormat="false" ht="13.2" hidden="false" customHeight="false" outlineLevel="0" collapsed="false">
      <c r="A7" s="25"/>
      <c r="B7" s="26"/>
      <c r="C7" s="26"/>
      <c r="D7" s="26"/>
      <c r="E7" s="27"/>
    </row>
    <row r="8" customFormat="false" ht="27" hidden="false" customHeight="true" outlineLevel="0" collapsed="false">
      <c r="A8" s="31" t="s">
        <v>175</v>
      </c>
      <c r="B8" s="31"/>
      <c r="C8" s="31"/>
      <c r="D8" s="31"/>
      <c r="E8" s="31"/>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c r="IU8" s="32"/>
      <c r="IV8" s="32"/>
      <c r="IW8" s="32"/>
    </row>
    <row r="9" customFormat="false" ht="8.25" hidden="false" customHeight="true" outlineLevel="0" collapsed="false">
      <c r="A9" s="25"/>
      <c r="B9" s="26"/>
      <c r="C9" s="33"/>
      <c r="D9" s="33"/>
      <c r="E9" s="34"/>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c r="HT9" s="32"/>
      <c r="HU9" s="32"/>
      <c r="HV9" s="32"/>
      <c r="HW9" s="32"/>
      <c r="HX9" s="32"/>
      <c r="HY9" s="32"/>
      <c r="HZ9" s="32"/>
      <c r="IA9" s="32"/>
      <c r="IB9" s="32"/>
      <c r="IC9" s="32"/>
      <c r="ID9" s="32"/>
      <c r="IE9" s="32"/>
      <c r="IF9" s="32"/>
      <c r="IG9" s="32"/>
      <c r="IH9" s="32"/>
      <c r="II9" s="32"/>
      <c r="IJ9" s="32"/>
      <c r="IK9" s="32"/>
      <c r="IL9" s="32"/>
      <c r="IM9" s="32"/>
      <c r="IN9" s="32"/>
      <c r="IO9" s="32"/>
      <c r="IP9" s="32"/>
      <c r="IQ9" s="32"/>
      <c r="IR9" s="32"/>
      <c r="IS9" s="32"/>
      <c r="IT9" s="32"/>
      <c r="IU9" s="32"/>
      <c r="IV9" s="32"/>
      <c r="IW9" s="32"/>
    </row>
    <row r="10" customFormat="false" ht="28.5" hidden="false" customHeight="true" outlineLevel="0" collapsed="false">
      <c r="A10" s="35" t="s">
        <v>176</v>
      </c>
      <c r="B10" s="35"/>
      <c r="C10" s="35"/>
      <c r="D10" s="36" t="s">
        <v>147</v>
      </c>
      <c r="E10" s="36"/>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row>
    <row r="11" customFormat="false" ht="9.75" hidden="false" customHeight="true" outlineLevel="0" collapsed="false">
      <c r="A11" s="37"/>
      <c r="B11" s="38"/>
      <c r="C11" s="39"/>
      <c r="D11" s="39"/>
      <c r="E11" s="40"/>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c r="IW11" s="32"/>
    </row>
    <row r="12" customFormat="false" ht="18" hidden="false" customHeight="false" outlineLevel="0" collapsed="false">
      <c r="A12" s="41" t="s">
        <v>177</v>
      </c>
      <c r="B12" s="42"/>
      <c r="C12" s="43" t="s">
        <v>178</v>
      </c>
      <c r="D12" s="43" t="s">
        <v>179</v>
      </c>
      <c r="E12" s="44" t="s">
        <v>180</v>
      </c>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c r="IW12" s="32"/>
    </row>
    <row r="13" customFormat="false" ht="328.2" hidden="false" customHeight="true" outlineLevel="0" collapsed="false">
      <c r="A13" s="45" t="s">
        <v>181</v>
      </c>
      <c r="B13" s="46"/>
      <c r="C13" s="46" t="str">
        <f aca="false">VLOOKUP($D$10,'MASTER-2'!$B$9:$T$215,2,0)</f>
        <v>A high efficient and sustainable, surface mounted LED downlight. Fixed output LED driver with DC functionality,adjustable 50-100%, NFC configurable. Body: Die-cast aluminium. Diffuser: polycarbonate, smooth reflector in satinbrite finish with wide beam and additional ultrasonicwelded clear polycarbonate cover IP54. Trim: high quality, highly reflective polycarbonate. Class I electrical,IP54_IP20. Installation plate to be fitted directly to ceiling, for mounting via BESA box or wire suspension use available accessory. Electrical connection via 3/5 pole, push in, terminal block, Housing mounts to installation plate with twist and lock bayonet mechanism. Complete with 4000K LED Dimensions: Ø180 x 182 mm Luminaire input power: 16.5 W Luminaire luminous flux: 1922 lm Luminaire efficacy: 116 lm/W Weight: 2.67 kg</v>
      </c>
      <c r="D13" s="46" t="str">
        <f aca="false">VLOOKUP($D$10,'MASTER-2'!$B$9:$T$215,3,0)</f>
        <v>19w; 2000lm; 4000k; 105lm/w; Dia 160mm; LED surface mounted light fixture with aluminium body and gloss diffuser with rated IP20; IK04; 50000hrs@L70</v>
      </c>
      <c r="E13" s="47"/>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c r="IW13" s="32"/>
    </row>
    <row r="14" customFormat="false" ht="29.4" hidden="false" customHeight="true" outlineLevel="0" collapsed="false">
      <c r="A14" s="45" t="s">
        <v>3</v>
      </c>
      <c r="B14" s="48"/>
      <c r="C14" s="46" t="s">
        <v>182</v>
      </c>
      <c r="D14" s="46" t="str">
        <f aca="false">VLOOKUP($D$10,'MASTER-2'!$B$9:$T$215,4,0)</f>
        <v>Philips</v>
      </c>
      <c r="E14" s="47"/>
    </row>
    <row r="15" customFormat="false" ht="29.4" hidden="false" customHeight="true" outlineLevel="0" collapsed="false">
      <c r="A15" s="45" t="s">
        <v>4</v>
      </c>
      <c r="B15" s="48"/>
      <c r="C15" s="46" t="s">
        <v>182</v>
      </c>
      <c r="D15" s="46" t="str">
        <f aca="false">VLOOKUP($D$10,'MASTER-2'!$B$9:$T$215,5,0)</f>
        <v>China</v>
      </c>
      <c r="E15" s="47"/>
    </row>
    <row r="16" customFormat="false" ht="29.4" hidden="false" customHeight="true" outlineLevel="0" collapsed="false">
      <c r="A16" s="45" t="s">
        <v>5</v>
      </c>
      <c r="B16" s="48"/>
      <c r="C16" s="46" t="s">
        <v>182</v>
      </c>
      <c r="D16" s="46" t="str">
        <f aca="false">VLOOKUP($D$10,'MASTER-2'!$B$9:$T$215,6,0)</f>
        <v>SM293C LED20/840PSU WH</v>
      </c>
      <c r="E16" s="47"/>
    </row>
    <row r="17" customFormat="false" ht="29.4" hidden="false" customHeight="true" outlineLevel="0" collapsed="false">
      <c r="A17" s="45" t="s">
        <v>6</v>
      </c>
      <c r="B17" s="48"/>
      <c r="C17" s="46" t="s">
        <v>202</v>
      </c>
      <c r="D17" s="46" t="str">
        <f aca="false">VLOOKUP($D$10,'MASTER-2'!$B$9:$T$215,7,0)</f>
        <v>Surface</v>
      </c>
      <c r="E17" s="47"/>
    </row>
    <row r="18" customFormat="false" ht="29.4" hidden="false" customHeight="true" outlineLevel="0" collapsed="false">
      <c r="A18" s="45" t="s">
        <v>7</v>
      </c>
      <c r="B18" s="48"/>
      <c r="C18" s="46" t="s">
        <v>203</v>
      </c>
      <c r="D18" s="46" t="str">
        <f aca="false">VLOOKUP($D$10,'MASTER-2'!$B$9:$T$215,8,0)</f>
        <v>Aluminium diecast Body</v>
      </c>
      <c r="E18" s="47"/>
    </row>
    <row r="19" customFormat="false" ht="29.4" hidden="false" customHeight="true" outlineLevel="0" collapsed="false">
      <c r="A19" s="45" t="s">
        <v>8</v>
      </c>
      <c r="B19" s="48"/>
      <c r="C19" s="46" t="s">
        <v>185</v>
      </c>
      <c r="D19" s="46" t="str">
        <f aca="false">VLOOKUP($D$10,'MASTER-2'!$B$9:$T$215,9,0)</f>
        <v>Golss Finish diffuser</v>
      </c>
      <c r="E19" s="47"/>
    </row>
    <row r="20" customFormat="false" ht="29.4" hidden="false" customHeight="true" outlineLevel="0" collapsed="false">
      <c r="A20" s="45" t="s">
        <v>9</v>
      </c>
      <c r="B20" s="48"/>
      <c r="C20" s="46" t="s">
        <v>120</v>
      </c>
      <c r="D20" s="46" t="str">
        <f aca="false">VLOOKUP($D$10,'MASTER-2'!$B$9:$T$215,10,0)</f>
        <v>LED Driver</v>
      </c>
      <c r="E20" s="47"/>
    </row>
    <row r="21" customFormat="false" ht="29.4" hidden="false" customHeight="true" outlineLevel="0" collapsed="false">
      <c r="A21" s="45" t="s">
        <v>10</v>
      </c>
      <c r="B21" s="49"/>
      <c r="C21" s="46" t="s">
        <v>204</v>
      </c>
      <c r="D21" s="46" t="str">
        <f aca="false">VLOOKUP($D$10,'MASTER-2'!$B$9:$T$215,11,0)</f>
        <v>19w / 2000lm / 4000k / 105lm/w</v>
      </c>
      <c r="E21" s="47"/>
    </row>
    <row r="22" customFormat="false" ht="29.4" hidden="false" customHeight="true" outlineLevel="0" collapsed="false">
      <c r="A22" s="45" t="s">
        <v>11</v>
      </c>
      <c r="B22" s="50"/>
      <c r="C22" s="46" t="s">
        <v>182</v>
      </c>
      <c r="D22" s="46" t="str">
        <f aca="false">VLOOKUP($D$10,'MASTER-2'!$B$9:$T$215,12,0)</f>
        <v>ROP approved EM Kit / Tridonic, Austria</v>
      </c>
      <c r="E22" s="47"/>
    </row>
    <row r="23" customFormat="false" ht="29.4" hidden="false" customHeight="true" outlineLevel="0" collapsed="false">
      <c r="A23" s="45" t="s">
        <v>12</v>
      </c>
      <c r="B23" s="50"/>
      <c r="C23" s="46" t="s">
        <v>182</v>
      </c>
      <c r="D23" s="46" t="str">
        <f aca="false">VLOOKUP($D$10,'MASTER-2'!$B$9:$T$215,13,0)</f>
        <v>CRI 80</v>
      </c>
      <c r="E23" s="47"/>
    </row>
    <row r="24" customFormat="false" ht="29.4" hidden="false" customHeight="true" outlineLevel="0" collapsed="false">
      <c r="A24" s="45" t="s">
        <v>13</v>
      </c>
      <c r="B24" s="50"/>
      <c r="C24" s="46" t="s">
        <v>182</v>
      </c>
      <c r="D24" s="46" t="str">
        <f aca="false">VLOOKUP($D$10,'MASTER-2'!$B$9:$T$215,14,0)</f>
        <v>L70 / 50000Hrs</v>
      </c>
      <c r="E24" s="47"/>
    </row>
    <row r="25" customFormat="false" ht="29.4" hidden="false" customHeight="true" outlineLevel="0" collapsed="false">
      <c r="A25" s="45" t="s">
        <v>14</v>
      </c>
      <c r="B25" s="50"/>
      <c r="C25" s="46" t="s">
        <v>200</v>
      </c>
      <c r="D25" s="46" t="str">
        <f aca="false">VLOOKUP($D$10,'MASTER-2'!$B$9:$T$215,15,0)</f>
        <v>IP20 / IK04</v>
      </c>
      <c r="E25" s="47"/>
    </row>
    <row r="26" customFormat="false" ht="29.4" hidden="false" customHeight="true" outlineLevel="0" collapsed="false">
      <c r="A26" s="45" t="s">
        <v>15</v>
      </c>
      <c r="B26" s="50"/>
      <c r="C26" s="46" t="s">
        <v>182</v>
      </c>
      <c r="D26" s="46" t="n">
        <f aca="false">VLOOKUP($D$10,'MASTER-2'!$B$9:$T$215,16,0)</f>
        <v>21</v>
      </c>
      <c r="E26" s="47"/>
    </row>
    <row r="27" customFormat="false" ht="29.4" hidden="false" customHeight="true" outlineLevel="0" collapsed="false">
      <c r="A27" s="45" t="s">
        <v>16</v>
      </c>
      <c r="B27" s="50"/>
      <c r="C27" s="46" t="s">
        <v>201</v>
      </c>
      <c r="D27" s="46" t="str">
        <f aca="false">VLOOKUP($D$10,'MASTER-2'!$B$9:$T$215,17,0)</f>
        <v>-</v>
      </c>
      <c r="E27" s="47"/>
    </row>
    <row r="28" customFormat="false" ht="16.2" hidden="false" customHeight="false" outlineLevel="0" collapsed="false">
      <c r="A28" s="51" t="s">
        <v>18</v>
      </c>
      <c r="B28" s="52"/>
      <c r="C28" s="53"/>
      <c r="D28" s="53"/>
      <c r="E28" s="54"/>
    </row>
  </sheetData>
  <mergeCells count="9">
    <mergeCell ref="A1:E1"/>
    <mergeCell ref="B3:E3"/>
    <mergeCell ref="B4:E4"/>
    <mergeCell ref="B5:E5"/>
    <mergeCell ref="B6:E6"/>
    <mergeCell ref="A8:E8"/>
    <mergeCell ref="A10:C10"/>
    <mergeCell ref="D10:E10"/>
    <mergeCell ref="C28:D28"/>
  </mergeCells>
  <printOptions headings="false" gridLines="false" gridLinesSet="true" horizontalCentered="true" verticalCentered="false"/>
  <pageMargins left="0.559722222222222" right="0.320138888888889" top="1" bottom="1" header="0.511811023622047" footer="0.511811023622047"/>
  <pageSetup paperSize="1" scale="49"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W28"/>
  <sheetViews>
    <sheetView showFormulas="false" showGridLines="false" showRowColHeaders="true" showZeros="true" rightToLeft="false" tabSelected="false" showOutlineSymbols="true" defaultGridColor="true" view="pageBreakPreview" topLeftCell="A11" colorId="64" zoomScale="55" zoomScaleNormal="85" zoomScalePageLayoutView="55" workbookViewId="0">
      <selection pane="topLeft" activeCell="E13" activeCellId="0" sqref="E13"/>
    </sheetView>
  </sheetViews>
  <sheetFormatPr defaultColWidth="9.1015625" defaultRowHeight="13.2" customHeight="false" zeroHeight="false" outlineLevelRow="0" outlineLevelCol="0"/>
  <cols>
    <col collapsed="false" customWidth="true" hidden="false" outlineLevel="0" max="1" min="1" style="1" width="32.33"/>
    <col collapsed="false" customWidth="true" hidden="false" outlineLevel="0" max="2" min="2" style="1" width="1.55"/>
    <col collapsed="false" customWidth="true" hidden="false" outlineLevel="0" max="3" min="3" style="1" width="67.1"/>
    <col collapsed="false" customWidth="true" hidden="false" outlineLevel="0" max="4" min="4" style="1" width="67.99"/>
    <col collapsed="false" customWidth="true" hidden="false" outlineLevel="0" max="5" min="5" style="1" width="25.1"/>
    <col collapsed="false" customWidth="false" hidden="false" outlineLevel="0" max="257" min="6" style="1" width="9.1"/>
  </cols>
  <sheetData>
    <row r="1" customFormat="false" ht="51.75" hidden="false" customHeight="true" outlineLevel="0" collapsed="false">
      <c r="A1" s="24" t="s">
        <v>173</v>
      </c>
      <c r="B1" s="24"/>
      <c r="C1" s="24"/>
      <c r="D1" s="24"/>
      <c r="E1" s="24"/>
    </row>
    <row r="2" customFormat="false" ht="13.2" hidden="false" customHeight="false" outlineLevel="0" collapsed="false">
      <c r="A2" s="25"/>
      <c r="B2" s="26"/>
      <c r="C2" s="26"/>
      <c r="D2" s="26"/>
      <c r="E2" s="27"/>
    </row>
    <row r="3" customFormat="false" ht="43.5" hidden="false" customHeight="true" outlineLevel="0" collapsed="false">
      <c r="A3" s="28" t="s">
        <v>99</v>
      </c>
      <c r="B3" s="29" t="s">
        <v>100</v>
      </c>
      <c r="C3" s="29"/>
      <c r="D3" s="29"/>
      <c r="E3" s="29"/>
      <c r="G3" s="30"/>
    </row>
    <row r="4" customFormat="false" ht="43.5" hidden="false" customHeight="true" outlineLevel="0" collapsed="false">
      <c r="A4" s="28" t="s">
        <v>101</v>
      </c>
      <c r="B4" s="29" t="s">
        <v>102</v>
      </c>
      <c r="C4" s="29"/>
      <c r="D4" s="29"/>
      <c r="E4" s="29"/>
      <c r="G4" s="30"/>
    </row>
    <row r="5" customFormat="false" ht="43.5" hidden="false" customHeight="true" outlineLevel="0" collapsed="false">
      <c r="A5" s="28" t="s">
        <v>103</v>
      </c>
      <c r="B5" s="29" t="s">
        <v>104</v>
      </c>
      <c r="C5" s="29"/>
      <c r="D5" s="29"/>
      <c r="E5" s="29"/>
      <c r="G5" s="30"/>
    </row>
    <row r="6" customFormat="false" ht="43.5" hidden="false" customHeight="true" outlineLevel="0" collapsed="false">
      <c r="A6" s="28" t="s">
        <v>105</v>
      </c>
      <c r="B6" s="29" t="s">
        <v>174</v>
      </c>
      <c r="C6" s="29"/>
      <c r="D6" s="29"/>
      <c r="E6" s="29"/>
      <c r="G6" s="30"/>
    </row>
    <row r="7" customFormat="false" ht="13.2" hidden="false" customHeight="false" outlineLevel="0" collapsed="false">
      <c r="A7" s="25"/>
      <c r="B7" s="26"/>
      <c r="C7" s="26"/>
      <c r="D7" s="26"/>
      <c r="E7" s="27"/>
    </row>
    <row r="8" customFormat="false" ht="27" hidden="false" customHeight="true" outlineLevel="0" collapsed="false">
      <c r="A8" s="31" t="s">
        <v>175</v>
      </c>
      <c r="B8" s="31"/>
      <c r="C8" s="31"/>
      <c r="D8" s="31"/>
      <c r="E8" s="31"/>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c r="IU8" s="32"/>
      <c r="IV8" s="32"/>
      <c r="IW8" s="32"/>
    </row>
    <row r="9" customFormat="false" ht="8.25" hidden="false" customHeight="true" outlineLevel="0" collapsed="false">
      <c r="A9" s="25"/>
      <c r="B9" s="26"/>
      <c r="C9" s="33"/>
      <c r="D9" s="33"/>
      <c r="E9" s="34"/>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c r="HT9" s="32"/>
      <c r="HU9" s="32"/>
      <c r="HV9" s="32"/>
      <c r="HW9" s="32"/>
      <c r="HX9" s="32"/>
      <c r="HY9" s="32"/>
      <c r="HZ9" s="32"/>
      <c r="IA9" s="32"/>
      <c r="IB9" s="32"/>
      <c r="IC9" s="32"/>
      <c r="ID9" s="32"/>
      <c r="IE9" s="32"/>
      <c r="IF9" s="32"/>
      <c r="IG9" s="32"/>
      <c r="IH9" s="32"/>
      <c r="II9" s="32"/>
      <c r="IJ9" s="32"/>
      <c r="IK9" s="32"/>
      <c r="IL9" s="32"/>
      <c r="IM9" s="32"/>
      <c r="IN9" s="32"/>
      <c r="IO9" s="32"/>
      <c r="IP9" s="32"/>
      <c r="IQ9" s="32"/>
      <c r="IR9" s="32"/>
      <c r="IS9" s="32"/>
      <c r="IT9" s="32"/>
      <c r="IU9" s="32"/>
      <c r="IV9" s="32"/>
      <c r="IW9" s="32"/>
    </row>
    <row r="10" customFormat="false" ht="28.5" hidden="false" customHeight="true" outlineLevel="0" collapsed="false">
      <c r="A10" s="35" t="s">
        <v>176</v>
      </c>
      <c r="B10" s="35"/>
      <c r="C10" s="35"/>
      <c r="D10" s="36" t="s">
        <v>93</v>
      </c>
      <c r="E10" s="36"/>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row>
    <row r="11" customFormat="false" ht="9.75" hidden="false" customHeight="true" outlineLevel="0" collapsed="false">
      <c r="A11" s="37"/>
      <c r="B11" s="38"/>
      <c r="C11" s="39"/>
      <c r="D11" s="39"/>
      <c r="E11" s="40"/>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c r="IW11" s="32"/>
    </row>
    <row r="12" customFormat="false" ht="18" hidden="false" customHeight="false" outlineLevel="0" collapsed="false">
      <c r="A12" s="41" t="s">
        <v>177</v>
      </c>
      <c r="B12" s="42"/>
      <c r="C12" s="43" t="s">
        <v>178</v>
      </c>
      <c r="D12" s="43" t="s">
        <v>179</v>
      </c>
      <c r="E12" s="44" t="s">
        <v>180</v>
      </c>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c r="IW12" s="32"/>
    </row>
    <row r="13" customFormat="false" ht="328.2" hidden="false" customHeight="true" outlineLevel="0" collapsed="false">
      <c r="A13" s="45" t="s">
        <v>181</v>
      </c>
      <c r="B13" s="46"/>
      <c r="C13" s="46" t="str">
        <f aca="false">VLOOKUP($D$10,'MASTER-2'!$B$9:$T$215,2,0)</f>
        <v>20w; 2200lm; 4000k; dia 390mm; SDCM&lt;3;  surface mounted light fixture with polycarbonate body and diffuser with rated IP65;IK10 50000hrs @ L80</v>
      </c>
      <c r="D13" s="46" t="str">
        <f aca="false">VLOOKUP($D$10,'MASTER-2'!$B$9:$T$215,3,0)</f>
        <v>20w; 2200lm; 4000k; dia 390mm; SDCM&lt;3;  surface mounted light fixture with polycarbonate body and diffuser with rated IP65;IK10 50000hrs @ L80</v>
      </c>
      <c r="E13" s="47"/>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c r="IW13" s="32"/>
    </row>
    <row r="14" customFormat="false" ht="29.4" hidden="false" customHeight="true" outlineLevel="0" collapsed="false">
      <c r="A14" s="45" t="s">
        <v>3</v>
      </c>
      <c r="B14" s="48"/>
      <c r="C14" s="46" t="s">
        <v>182</v>
      </c>
      <c r="D14" s="46" t="str">
        <f aca="false">VLOOKUP($D$10,'MASTER-2'!$B$9:$T$215,4,0)</f>
        <v>Philips</v>
      </c>
      <c r="E14" s="47"/>
    </row>
    <row r="15" customFormat="false" ht="29.4" hidden="false" customHeight="true" outlineLevel="0" collapsed="false">
      <c r="A15" s="45" t="s">
        <v>4</v>
      </c>
      <c r="B15" s="48"/>
      <c r="C15" s="46" t="s">
        <v>182</v>
      </c>
      <c r="D15" s="46" t="str">
        <f aca="false">VLOOKUP($D$10,'MASTER-2'!$B$9:$T$215,5,0)</f>
        <v>China</v>
      </c>
      <c r="E15" s="47"/>
    </row>
    <row r="16" customFormat="false" ht="29.4" hidden="false" customHeight="true" outlineLevel="0" collapsed="false">
      <c r="A16" s="45" t="s">
        <v>5</v>
      </c>
      <c r="B16" s="48"/>
      <c r="C16" s="46" t="s">
        <v>182</v>
      </c>
      <c r="D16" s="46" t="str">
        <f aca="false">VLOOKUP($D$10,'MASTER-2'!$B$9:$T$215,6,0)</f>
        <v>WL140V LED20S/840 PSU WH</v>
      </c>
      <c r="E16" s="47"/>
    </row>
    <row r="17" customFormat="false" ht="29.4" hidden="false" customHeight="true" outlineLevel="0" collapsed="false">
      <c r="A17" s="45" t="s">
        <v>6</v>
      </c>
      <c r="B17" s="48"/>
      <c r="C17" s="46" t="s">
        <v>183</v>
      </c>
      <c r="D17" s="46" t="str">
        <f aca="false">VLOOKUP($D$10,'MASTER-2'!$B$9:$T$215,7,0)</f>
        <v>Surface</v>
      </c>
      <c r="E17" s="47"/>
    </row>
    <row r="18" customFormat="false" ht="29.4" hidden="false" customHeight="true" outlineLevel="0" collapsed="false">
      <c r="A18" s="45" t="s">
        <v>7</v>
      </c>
      <c r="B18" s="48"/>
      <c r="C18" s="46" t="s">
        <v>205</v>
      </c>
      <c r="D18" s="46" t="str">
        <f aca="false">VLOOKUP($D$10,'MASTER-2'!$B$9:$T$215,8,0)</f>
        <v>Polycarbonate</v>
      </c>
      <c r="E18" s="47"/>
    </row>
    <row r="19" customFormat="false" ht="29.4" hidden="false" customHeight="true" outlineLevel="0" collapsed="false">
      <c r="A19" s="45" t="s">
        <v>8</v>
      </c>
      <c r="B19" s="48"/>
      <c r="C19" s="46" t="s">
        <v>206</v>
      </c>
      <c r="D19" s="46" t="str">
        <f aca="false">VLOOKUP($D$10,'MASTER-2'!$B$9:$T$215,9,0)</f>
        <v>polycarbonate diffuser</v>
      </c>
      <c r="E19" s="47"/>
    </row>
    <row r="20" customFormat="false" ht="29.4" hidden="false" customHeight="true" outlineLevel="0" collapsed="false">
      <c r="A20" s="45" t="s">
        <v>9</v>
      </c>
      <c r="B20" s="48"/>
      <c r="C20" s="46" t="s">
        <v>120</v>
      </c>
      <c r="D20" s="46" t="str">
        <f aca="false">VLOOKUP($D$10,'MASTER-2'!$B$9:$T$215,10,0)</f>
        <v>LED Driver</v>
      </c>
      <c r="E20" s="47"/>
    </row>
    <row r="21" customFormat="false" ht="29.4" hidden="false" customHeight="true" outlineLevel="0" collapsed="false">
      <c r="A21" s="45" t="s">
        <v>10</v>
      </c>
      <c r="B21" s="49"/>
      <c r="C21" s="46" t="s">
        <v>207</v>
      </c>
      <c r="D21" s="46" t="str">
        <f aca="false">VLOOKUP($D$10,'MASTER-2'!$B$9:$T$215,11,0)</f>
        <v>20w / 2200lm / 4000k / 110lm/w</v>
      </c>
      <c r="E21" s="47"/>
    </row>
    <row r="22" customFormat="false" ht="29.4" hidden="false" customHeight="true" outlineLevel="0" collapsed="false">
      <c r="A22" s="45" t="s">
        <v>11</v>
      </c>
      <c r="B22" s="50"/>
      <c r="C22" s="46" t="s">
        <v>182</v>
      </c>
      <c r="D22" s="46" t="str">
        <f aca="false">VLOOKUP($D$10,'MASTER-2'!$B$9:$T$215,12,0)</f>
        <v>ROP approved EM Kit / Tridonic, Austria</v>
      </c>
      <c r="E22" s="47"/>
    </row>
    <row r="23" customFormat="false" ht="29.4" hidden="false" customHeight="true" outlineLevel="0" collapsed="false">
      <c r="A23" s="45" t="s">
        <v>12</v>
      </c>
      <c r="B23" s="50"/>
      <c r="C23" s="46" t="s">
        <v>182</v>
      </c>
      <c r="D23" s="46" t="str">
        <f aca="false">VLOOKUP($D$10,'MASTER-2'!$B$9:$T$215,13,0)</f>
        <v>CRI 80</v>
      </c>
      <c r="E23" s="47"/>
    </row>
    <row r="24" customFormat="false" ht="29.4" hidden="false" customHeight="true" outlineLevel="0" collapsed="false">
      <c r="A24" s="45" t="s">
        <v>13</v>
      </c>
      <c r="B24" s="50"/>
      <c r="C24" s="46" t="s">
        <v>208</v>
      </c>
      <c r="D24" s="46" t="str">
        <f aca="false">VLOOKUP($D$10,'MASTER-2'!$B$9:$T$215,14,0)</f>
        <v>L80 / 50000Hrs</v>
      </c>
      <c r="E24" s="47"/>
    </row>
    <row r="25" customFormat="false" ht="29.4" hidden="false" customHeight="true" outlineLevel="0" collapsed="false">
      <c r="A25" s="45" t="s">
        <v>14</v>
      </c>
      <c r="B25" s="50"/>
      <c r="C25" s="46" t="s">
        <v>48</v>
      </c>
      <c r="D25" s="46" t="str">
        <f aca="false">VLOOKUP($D$10,'MASTER-2'!$B$9:$T$215,15,0)</f>
        <v>IP65 / IK08</v>
      </c>
      <c r="E25" s="47"/>
    </row>
    <row r="26" customFormat="false" ht="29.4" hidden="false" customHeight="true" outlineLevel="0" collapsed="false">
      <c r="A26" s="45" t="s">
        <v>15</v>
      </c>
      <c r="B26" s="50"/>
      <c r="C26" s="46" t="s">
        <v>182</v>
      </c>
      <c r="D26" s="46" t="n">
        <f aca="false">VLOOKUP($D$10,'MASTER-2'!$B$9:$T$215,16,0)</f>
        <v>21</v>
      </c>
      <c r="E26" s="47"/>
    </row>
    <row r="27" customFormat="false" ht="29.4" hidden="false" customHeight="true" outlineLevel="0" collapsed="false">
      <c r="A27" s="45" t="s">
        <v>16</v>
      </c>
      <c r="B27" s="50"/>
      <c r="C27" s="46" t="s">
        <v>182</v>
      </c>
      <c r="D27" s="46" t="str">
        <f aca="false">VLOOKUP($D$10,'MASTER-2'!$B$9:$T$215,17,0)</f>
        <v>-</v>
      </c>
      <c r="E27" s="47"/>
    </row>
    <row r="28" customFormat="false" ht="16.2" hidden="false" customHeight="false" outlineLevel="0" collapsed="false">
      <c r="A28" s="51" t="s">
        <v>18</v>
      </c>
      <c r="B28" s="52"/>
      <c r="C28" s="53"/>
      <c r="D28" s="53"/>
      <c r="E28" s="54"/>
    </row>
  </sheetData>
  <mergeCells count="9">
    <mergeCell ref="A1:E1"/>
    <mergeCell ref="B3:E3"/>
    <mergeCell ref="B4:E4"/>
    <mergeCell ref="B5:E5"/>
    <mergeCell ref="B6:E6"/>
    <mergeCell ref="A8:E8"/>
    <mergeCell ref="A10:C10"/>
    <mergeCell ref="D10:E10"/>
    <mergeCell ref="C28:D28"/>
  </mergeCells>
  <printOptions headings="false" gridLines="false" gridLinesSet="true" horizontalCentered="true" verticalCentered="false"/>
  <pageMargins left="0.559722222222222" right="0.320138888888889" top="1" bottom="1" header="0.511811023622047" footer="0.511811023622047"/>
  <pageSetup paperSize="1" scale="49"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W28"/>
  <sheetViews>
    <sheetView showFormulas="false" showGridLines="false" showRowColHeaders="true" showZeros="true" rightToLeft="false" tabSelected="false" showOutlineSymbols="true" defaultGridColor="true" view="pageBreakPreview" topLeftCell="A17" colorId="64" zoomScale="70" zoomScaleNormal="85" zoomScalePageLayoutView="70" workbookViewId="0">
      <selection pane="topLeft" activeCell="E13" activeCellId="0" sqref="E13"/>
    </sheetView>
  </sheetViews>
  <sheetFormatPr defaultColWidth="9.1015625" defaultRowHeight="13.2" customHeight="false" zeroHeight="false" outlineLevelRow="0" outlineLevelCol="0"/>
  <cols>
    <col collapsed="false" customWidth="true" hidden="false" outlineLevel="0" max="1" min="1" style="1" width="32.33"/>
    <col collapsed="false" customWidth="true" hidden="false" outlineLevel="0" max="2" min="2" style="1" width="1.55"/>
    <col collapsed="false" customWidth="true" hidden="false" outlineLevel="0" max="3" min="3" style="1" width="61.1"/>
    <col collapsed="false" customWidth="true" hidden="false" outlineLevel="0" max="4" min="4" style="1" width="63.55"/>
    <col collapsed="false" customWidth="true" hidden="false" outlineLevel="0" max="5" min="5" style="1" width="26.32"/>
    <col collapsed="false" customWidth="false" hidden="false" outlineLevel="0" max="257" min="6" style="1" width="9.1"/>
  </cols>
  <sheetData>
    <row r="1" customFormat="false" ht="51.75" hidden="false" customHeight="true" outlineLevel="0" collapsed="false">
      <c r="A1" s="24" t="s">
        <v>173</v>
      </c>
      <c r="B1" s="24"/>
      <c r="C1" s="24"/>
      <c r="D1" s="24"/>
      <c r="E1" s="24"/>
    </row>
    <row r="2" customFormat="false" ht="13.2" hidden="false" customHeight="false" outlineLevel="0" collapsed="false">
      <c r="A2" s="25"/>
      <c r="B2" s="26"/>
      <c r="C2" s="26"/>
      <c r="D2" s="26"/>
      <c r="E2" s="27"/>
    </row>
    <row r="3" customFormat="false" ht="43.5" hidden="false" customHeight="true" outlineLevel="0" collapsed="false">
      <c r="A3" s="28" t="s">
        <v>99</v>
      </c>
      <c r="B3" s="29" t="s">
        <v>100</v>
      </c>
      <c r="C3" s="29"/>
      <c r="D3" s="29"/>
      <c r="E3" s="29"/>
      <c r="G3" s="30"/>
    </row>
    <row r="4" customFormat="false" ht="43.5" hidden="false" customHeight="true" outlineLevel="0" collapsed="false">
      <c r="A4" s="28" t="s">
        <v>101</v>
      </c>
      <c r="B4" s="29" t="s">
        <v>102</v>
      </c>
      <c r="C4" s="29"/>
      <c r="D4" s="29"/>
      <c r="E4" s="29"/>
      <c r="G4" s="30"/>
    </row>
    <row r="5" customFormat="false" ht="43.5" hidden="false" customHeight="true" outlineLevel="0" collapsed="false">
      <c r="A5" s="28" t="s">
        <v>103</v>
      </c>
      <c r="B5" s="29" t="s">
        <v>104</v>
      </c>
      <c r="C5" s="29"/>
      <c r="D5" s="29"/>
      <c r="E5" s="29"/>
      <c r="G5" s="30"/>
    </row>
    <row r="6" customFormat="false" ht="43.5" hidden="false" customHeight="true" outlineLevel="0" collapsed="false">
      <c r="A6" s="28" t="s">
        <v>105</v>
      </c>
      <c r="B6" s="29" t="s">
        <v>174</v>
      </c>
      <c r="C6" s="29"/>
      <c r="D6" s="29"/>
      <c r="E6" s="29"/>
      <c r="G6" s="30"/>
    </row>
    <row r="7" customFormat="false" ht="13.2" hidden="false" customHeight="false" outlineLevel="0" collapsed="false">
      <c r="A7" s="25"/>
      <c r="B7" s="26"/>
      <c r="C7" s="26"/>
      <c r="D7" s="26"/>
      <c r="E7" s="27"/>
    </row>
    <row r="8" customFormat="false" ht="27" hidden="false" customHeight="true" outlineLevel="0" collapsed="false">
      <c r="A8" s="31" t="s">
        <v>175</v>
      </c>
      <c r="B8" s="31"/>
      <c r="C8" s="31"/>
      <c r="D8" s="31"/>
      <c r="E8" s="31"/>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c r="IU8" s="32"/>
      <c r="IV8" s="32"/>
      <c r="IW8" s="32"/>
    </row>
    <row r="9" customFormat="false" ht="8.25" hidden="false" customHeight="true" outlineLevel="0" collapsed="false">
      <c r="A9" s="25"/>
      <c r="B9" s="26"/>
      <c r="C9" s="33"/>
      <c r="D9" s="33"/>
      <c r="E9" s="34"/>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c r="HT9" s="32"/>
      <c r="HU9" s="32"/>
      <c r="HV9" s="32"/>
      <c r="HW9" s="32"/>
      <c r="HX9" s="32"/>
      <c r="HY9" s="32"/>
      <c r="HZ9" s="32"/>
      <c r="IA9" s="32"/>
      <c r="IB9" s="32"/>
      <c r="IC9" s="32"/>
      <c r="ID9" s="32"/>
      <c r="IE9" s="32"/>
      <c r="IF9" s="32"/>
      <c r="IG9" s="32"/>
      <c r="IH9" s="32"/>
      <c r="II9" s="32"/>
      <c r="IJ9" s="32"/>
      <c r="IK9" s="32"/>
      <c r="IL9" s="32"/>
      <c r="IM9" s="32"/>
      <c r="IN9" s="32"/>
      <c r="IO9" s="32"/>
      <c r="IP9" s="32"/>
      <c r="IQ9" s="32"/>
      <c r="IR9" s="32"/>
      <c r="IS9" s="32"/>
      <c r="IT9" s="32"/>
      <c r="IU9" s="32"/>
      <c r="IV9" s="32"/>
      <c r="IW9" s="32"/>
    </row>
    <row r="10" customFormat="false" ht="28.5" hidden="false" customHeight="true" outlineLevel="0" collapsed="false">
      <c r="A10" s="35" t="s">
        <v>176</v>
      </c>
      <c r="B10" s="35"/>
      <c r="C10" s="35"/>
      <c r="D10" s="36" t="s">
        <v>156</v>
      </c>
      <c r="E10" s="36"/>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row>
    <row r="11" customFormat="false" ht="9.75" hidden="false" customHeight="true" outlineLevel="0" collapsed="false">
      <c r="A11" s="37"/>
      <c r="B11" s="38"/>
      <c r="C11" s="39"/>
      <c r="D11" s="39"/>
      <c r="E11" s="40"/>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c r="IW11" s="32"/>
    </row>
    <row r="12" customFormat="false" ht="18" hidden="false" customHeight="false" outlineLevel="0" collapsed="false">
      <c r="A12" s="41" t="s">
        <v>177</v>
      </c>
      <c r="B12" s="42"/>
      <c r="C12" s="43" t="s">
        <v>178</v>
      </c>
      <c r="D12" s="43" t="s">
        <v>179</v>
      </c>
      <c r="E12" s="44" t="s">
        <v>180</v>
      </c>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c r="IW12" s="32"/>
    </row>
    <row r="13" customFormat="false" ht="328.2" hidden="false" customHeight="true" outlineLevel="0" collapsed="false">
      <c r="A13" s="45" t="s">
        <v>181</v>
      </c>
      <c r="B13" s="46"/>
      <c r="C13" s="46" t="str">
        <f aca="false">VLOOKUP($D$10,'MASTER-2'!$B$9:$T$215,2,0)</f>
        <v>14w LED Strip Light with Aluminium Profile body and polycarbonate diffuser with rated IP20</v>
      </c>
      <c r="D13" s="46" t="str">
        <f aca="false">VLOOKUP($D$10,'MASTER-2'!$B$9:$T$215,3,0)</f>
        <v>14w LED Strip Light with Aluminium Profile body and polycarbonate diffuser with rated IP20</v>
      </c>
      <c r="E13" s="47"/>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c r="IW13" s="32"/>
    </row>
    <row r="14" customFormat="false" ht="29.4" hidden="false" customHeight="true" outlineLevel="0" collapsed="false">
      <c r="A14" s="45" t="s">
        <v>3</v>
      </c>
      <c r="B14" s="48"/>
      <c r="C14" s="46" t="s">
        <v>182</v>
      </c>
      <c r="D14" s="46" t="str">
        <f aca="false">VLOOKUP($D$10,'MASTER-2'!$B$9:$T$215,4,0)</f>
        <v>Tridonic</v>
      </c>
      <c r="E14" s="47"/>
    </row>
    <row r="15" customFormat="false" ht="29.4" hidden="false" customHeight="true" outlineLevel="0" collapsed="false">
      <c r="A15" s="45" t="s">
        <v>4</v>
      </c>
      <c r="B15" s="48"/>
      <c r="C15" s="46" t="s">
        <v>182</v>
      </c>
      <c r="D15" s="46" t="str">
        <f aca="false">VLOOKUP($D$10,'MASTER-2'!$B$9:$T$215,5,0)</f>
        <v>Austria</v>
      </c>
      <c r="E15" s="47"/>
    </row>
    <row r="16" customFormat="false" ht="29.4" hidden="false" customHeight="true" outlineLevel="0" collapsed="false">
      <c r="A16" s="45" t="s">
        <v>5</v>
      </c>
      <c r="B16" s="48"/>
      <c r="C16" s="46" t="s">
        <v>182</v>
      </c>
      <c r="D16" s="46" t="str">
        <f aca="false">VLOOKUP($D$10,'MASTER-2'!$B$9:$T$215,6,0)</f>
        <v>LED Strip Light + Aluminium Profile</v>
      </c>
      <c r="E16" s="47"/>
    </row>
    <row r="17" customFormat="false" ht="29.4" hidden="false" customHeight="true" outlineLevel="0" collapsed="false">
      <c r="A17" s="45" t="s">
        <v>6</v>
      </c>
      <c r="B17" s="48"/>
      <c r="C17" s="46" t="str">
        <f aca="false">VLOOKUP($D$10,'MASTER-2'!$B$9:$T$215,7,0)</f>
        <v>Surface / Cove Mounted</v>
      </c>
      <c r="D17" s="46" t="str">
        <f aca="false">VLOOKUP($D$10,'MASTER-2'!$B$9:$T$215,7,0)</f>
        <v>Surface / Cove Mounted</v>
      </c>
      <c r="E17" s="47"/>
    </row>
    <row r="18" customFormat="false" ht="29.4" hidden="false" customHeight="true" outlineLevel="0" collapsed="false">
      <c r="A18" s="45" t="s">
        <v>7</v>
      </c>
      <c r="B18" s="48"/>
      <c r="C18" s="46" t="str">
        <f aca="false">VLOOKUP($D$10,'MASTER-2'!$B$9:$T$215,8,0)</f>
        <v>Aluminium body</v>
      </c>
      <c r="D18" s="46" t="str">
        <f aca="false">VLOOKUP($D$10,'MASTER-2'!$B$9:$T$215,8,0)</f>
        <v>Aluminium body</v>
      </c>
      <c r="E18" s="47"/>
    </row>
    <row r="19" customFormat="false" ht="29.4" hidden="false" customHeight="true" outlineLevel="0" collapsed="false">
      <c r="A19" s="45" t="s">
        <v>8</v>
      </c>
      <c r="B19" s="48"/>
      <c r="C19" s="46" t="str">
        <f aca="false">VLOOKUP($D$10,'MASTER-2'!$B$9:$T$215,9,0)</f>
        <v>polycarbonate diffuser</v>
      </c>
      <c r="D19" s="46" t="str">
        <f aca="false">VLOOKUP($D$10,'MASTER-2'!$B$9:$T$215,9,0)</f>
        <v>polycarbonate diffuser</v>
      </c>
      <c r="E19" s="47"/>
    </row>
    <row r="20" customFormat="false" ht="29.4" hidden="false" customHeight="true" outlineLevel="0" collapsed="false">
      <c r="A20" s="45" t="s">
        <v>9</v>
      </c>
      <c r="B20" s="48"/>
      <c r="C20" s="46" t="str">
        <f aca="false">VLOOKUP($D$10,'MASTER-2'!$B$9:$T$215,10,0)</f>
        <v>LED Driver</v>
      </c>
      <c r="D20" s="46" t="str">
        <f aca="false">VLOOKUP($D$10,'MASTER-2'!$B$9:$T$215,10,0)</f>
        <v>LED Driver</v>
      </c>
      <c r="E20" s="47"/>
    </row>
    <row r="21" customFormat="false" ht="29.4" hidden="false" customHeight="true" outlineLevel="0" collapsed="false">
      <c r="A21" s="45" t="s">
        <v>10</v>
      </c>
      <c r="B21" s="49"/>
      <c r="C21" s="46" t="str">
        <f aca="false">VLOOKUP($D$10,'MASTER-2'!$B$9:$T$215,11,0)</f>
        <v>14w / 1400lm / 4000k / 100lm/w</v>
      </c>
      <c r="D21" s="46" t="str">
        <f aca="false">VLOOKUP($D$10,'MASTER-2'!$B$9:$T$215,11,0)</f>
        <v>14w / 1400lm / 4000k / 100lm/w</v>
      </c>
      <c r="E21" s="47"/>
    </row>
    <row r="22" customFormat="false" ht="29.4" hidden="false" customHeight="true" outlineLevel="0" collapsed="false">
      <c r="A22" s="45" t="s">
        <v>11</v>
      </c>
      <c r="B22" s="50"/>
      <c r="C22" s="46" t="str">
        <f aca="false">VLOOKUP($D$10,'MASTER-2'!$B$9:$T$215,12,0)</f>
        <v>ROP approved EM Kit / Tridonic, Austria</v>
      </c>
      <c r="D22" s="46" t="str">
        <f aca="false">VLOOKUP($D$10,'MASTER-2'!$B$9:$T$215,12,0)</f>
        <v>ROP approved EM Kit / Tridonic, Austria</v>
      </c>
      <c r="E22" s="47"/>
    </row>
    <row r="23" customFormat="false" ht="29.4" hidden="false" customHeight="true" outlineLevel="0" collapsed="false">
      <c r="A23" s="45" t="s">
        <v>12</v>
      </c>
      <c r="B23" s="50"/>
      <c r="C23" s="46" t="str">
        <f aca="false">VLOOKUP($D$10,'MASTER-2'!$B$9:$T$215,13,0)</f>
        <v>CRI 80</v>
      </c>
      <c r="D23" s="46" t="str">
        <f aca="false">VLOOKUP($D$10,'MASTER-2'!$B$9:$T$215,13,0)</f>
        <v>CRI 80</v>
      </c>
      <c r="E23" s="47"/>
    </row>
    <row r="24" customFormat="false" ht="29.4" hidden="false" customHeight="true" outlineLevel="0" collapsed="false">
      <c r="A24" s="45" t="s">
        <v>13</v>
      </c>
      <c r="B24" s="50"/>
      <c r="C24" s="46" t="str">
        <f aca="false">VLOOKUP($D$10,'MASTER-2'!$B$9:$T$215,14,0)</f>
        <v>L80 / 50000Hrs</v>
      </c>
      <c r="D24" s="46" t="str">
        <f aca="false">VLOOKUP($D$10,'MASTER-2'!$B$9:$T$215,14,0)</f>
        <v>L80 / 50000Hrs</v>
      </c>
      <c r="E24" s="47"/>
    </row>
    <row r="25" customFormat="false" ht="29.4" hidden="false" customHeight="true" outlineLevel="0" collapsed="false">
      <c r="A25" s="45" t="s">
        <v>14</v>
      </c>
      <c r="B25" s="50"/>
      <c r="C25" s="46" t="str">
        <f aca="false">VLOOKUP($D$10,'MASTER-2'!$B$9:$T$215,15,0)</f>
        <v>IP44 / IK04</v>
      </c>
      <c r="D25" s="46" t="str">
        <f aca="false">VLOOKUP($D$10,'MASTER-2'!$B$9:$T$215,15,0)</f>
        <v>IP44 / IK04</v>
      </c>
      <c r="E25" s="47"/>
    </row>
    <row r="26" customFormat="false" ht="29.4" hidden="false" customHeight="true" outlineLevel="0" collapsed="false">
      <c r="A26" s="45" t="s">
        <v>15</v>
      </c>
      <c r="B26" s="50"/>
      <c r="C26" s="46" t="n">
        <f aca="false">VLOOKUP($D$10,'MASTER-2'!$B$9:$T$215,16,0)</f>
        <v>21</v>
      </c>
      <c r="D26" s="46" t="n">
        <f aca="false">VLOOKUP($D$10,'MASTER-2'!$B$9:$T$215,16,0)</f>
        <v>21</v>
      </c>
      <c r="E26" s="47"/>
    </row>
    <row r="27" customFormat="false" ht="29.4" hidden="false" customHeight="true" outlineLevel="0" collapsed="false">
      <c r="A27" s="45" t="s">
        <v>16</v>
      </c>
      <c r="B27" s="50"/>
      <c r="C27" s="46" t="str">
        <f aca="false">VLOOKUP($D$10,'MASTER-2'!$B$9:$T$215,17,0)</f>
        <v>-</v>
      </c>
      <c r="D27" s="46" t="str">
        <f aca="false">VLOOKUP($D$10,'MASTER-2'!$B$9:$T$215,17,0)</f>
        <v>-</v>
      </c>
      <c r="E27" s="47"/>
    </row>
    <row r="28" customFormat="false" ht="16.2" hidden="false" customHeight="false" outlineLevel="0" collapsed="false">
      <c r="A28" s="51" t="s">
        <v>18</v>
      </c>
      <c r="B28" s="52"/>
      <c r="C28" s="53"/>
      <c r="D28" s="53"/>
      <c r="E28" s="54"/>
    </row>
  </sheetData>
  <mergeCells count="9">
    <mergeCell ref="A1:E1"/>
    <mergeCell ref="B3:E3"/>
    <mergeCell ref="B4:E4"/>
    <mergeCell ref="B5:E5"/>
    <mergeCell ref="B6:E6"/>
    <mergeCell ref="A8:E8"/>
    <mergeCell ref="A10:C10"/>
    <mergeCell ref="D10:E10"/>
    <mergeCell ref="C28:D28"/>
  </mergeCells>
  <printOptions headings="false" gridLines="false" gridLinesSet="true" horizontalCentered="true" verticalCentered="false"/>
  <pageMargins left="0.559722222222222" right="0.320138888888889" top="1" bottom="1" header="0.511811023622047" footer="0.511811023622047"/>
  <pageSetup paperSize="1" scale="49"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W28"/>
  <sheetViews>
    <sheetView showFormulas="false" showGridLines="false" showRowColHeaders="true" showZeros="true" rightToLeft="false" tabSelected="false" showOutlineSymbols="true" defaultGridColor="true" view="pageBreakPreview" topLeftCell="A2" colorId="64" zoomScale="55" zoomScaleNormal="85" zoomScalePageLayoutView="55" workbookViewId="0">
      <selection pane="topLeft" activeCell="E13" activeCellId="0" sqref="E13"/>
    </sheetView>
  </sheetViews>
  <sheetFormatPr defaultColWidth="9.1015625" defaultRowHeight="13.2" customHeight="false" zeroHeight="false" outlineLevelRow="0" outlineLevelCol="0"/>
  <cols>
    <col collapsed="false" customWidth="true" hidden="false" outlineLevel="0" max="1" min="1" style="1" width="32.33"/>
    <col collapsed="false" customWidth="true" hidden="false" outlineLevel="0" max="2" min="2" style="1" width="1.55"/>
    <col collapsed="false" customWidth="true" hidden="false" outlineLevel="0" max="3" min="3" style="1" width="71.99"/>
    <col collapsed="false" customWidth="true" hidden="false" outlineLevel="0" max="4" min="4" style="1" width="52.55"/>
    <col collapsed="false" customWidth="true" hidden="false" outlineLevel="0" max="5" min="5" style="1" width="29.87"/>
    <col collapsed="false" customWidth="false" hidden="false" outlineLevel="0" max="257" min="6" style="1" width="9.1"/>
  </cols>
  <sheetData>
    <row r="1" customFormat="false" ht="51.75" hidden="false" customHeight="true" outlineLevel="0" collapsed="false">
      <c r="A1" s="24" t="s">
        <v>173</v>
      </c>
      <c r="B1" s="24"/>
      <c r="C1" s="24"/>
      <c r="D1" s="24"/>
      <c r="E1" s="24"/>
    </row>
    <row r="2" customFormat="false" ht="13.2" hidden="false" customHeight="false" outlineLevel="0" collapsed="false">
      <c r="A2" s="25"/>
      <c r="B2" s="26"/>
      <c r="C2" s="26"/>
      <c r="D2" s="26"/>
      <c r="E2" s="27"/>
    </row>
    <row r="3" customFormat="false" ht="43.5" hidden="false" customHeight="true" outlineLevel="0" collapsed="false">
      <c r="A3" s="28" t="s">
        <v>99</v>
      </c>
      <c r="B3" s="29" t="s">
        <v>100</v>
      </c>
      <c r="C3" s="29"/>
      <c r="D3" s="29"/>
      <c r="E3" s="29"/>
      <c r="G3" s="30"/>
    </row>
    <row r="4" customFormat="false" ht="43.5" hidden="false" customHeight="true" outlineLevel="0" collapsed="false">
      <c r="A4" s="28" t="s">
        <v>101</v>
      </c>
      <c r="B4" s="29" t="s">
        <v>102</v>
      </c>
      <c r="C4" s="29"/>
      <c r="D4" s="29"/>
      <c r="E4" s="29"/>
      <c r="G4" s="30"/>
    </row>
    <row r="5" customFormat="false" ht="43.5" hidden="false" customHeight="true" outlineLevel="0" collapsed="false">
      <c r="A5" s="28" t="s">
        <v>103</v>
      </c>
      <c r="B5" s="29" t="s">
        <v>104</v>
      </c>
      <c r="C5" s="29"/>
      <c r="D5" s="29"/>
      <c r="E5" s="29"/>
      <c r="G5" s="30"/>
    </row>
    <row r="6" customFormat="false" ht="43.5" hidden="false" customHeight="true" outlineLevel="0" collapsed="false">
      <c r="A6" s="28" t="s">
        <v>105</v>
      </c>
      <c r="B6" s="29" t="s">
        <v>174</v>
      </c>
      <c r="C6" s="29"/>
      <c r="D6" s="29"/>
      <c r="E6" s="29"/>
      <c r="G6" s="30"/>
    </row>
    <row r="7" customFormat="false" ht="13.2" hidden="false" customHeight="false" outlineLevel="0" collapsed="false">
      <c r="A7" s="25"/>
      <c r="B7" s="26"/>
      <c r="C7" s="26"/>
      <c r="D7" s="26"/>
      <c r="E7" s="27"/>
    </row>
    <row r="8" customFormat="false" ht="27" hidden="false" customHeight="true" outlineLevel="0" collapsed="false">
      <c r="A8" s="31" t="s">
        <v>175</v>
      </c>
      <c r="B8" s="31"/>
      <c r="C8" s="31"/>
      <c r="D8" s="31"/>
      <c r="E8" s="31"/>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c r="IU8" s="32"/>
      <c r="IV8" s="32"/>
      <c r="IW8" s="32"/>
    </row>
    <row r="9" customFormat="false" ht="8.25" hidden="false" customHeight="true" outlineLevel="0" collapsed="false">
      <c r="A9" s="25"/>
      <c r="B9" s="26"/>
      <c r="C9" s="33"/>
      <c r="D9" s="33"/>
      <c r="E9" s="34"/>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c r="HT9" s="32"/>
      <c r="HU9" s="32"/>
      <c r="HV9" s="32"/>
      <c r="HW9" s="32"/>
      <c r="HX9" s="32"/>
      <c r="HY9" s="32"/>
      <c r="HZ9" s="32"/>
      <c r="IA9" s="32"/>
      <c r="IB9" s="32"/>
      <c r="IC9" s="32"/>
      <c r="ID9" s="32"/>
      <c r="IE9" s="32"/>
      <c r="IF9" s="32"/>
      <c r="IG9" s="32"/>
      <c r="IH9" s="32"/>
      <c r="II9" s="32"/>
      <c r="IJ9" s="32"/>
      <c r="IK9" s="32"/>
      <c r="IL9" s="32"/>
      <c r="IM9" s="32"/>
      <c r="IN9" s="32"/>
      <c r="IO9" s="32"/>
      <c r="IP9" s="32"/>
      <c r="IQ9" s="32"/>
      <c r="IR9" s="32"/>
      <c r="IS9" s="32"/>
      <c r="IT9" s="32"/>
      <c r="IU9" s="32"/>
      <c r="IV9" s="32"/>
      <c r="IW9" s="32"/>
    </row>
    <row r="10" customFormat="false" ht="28.5" hidden="false" customHeight="true" outlineLevel="0" collapsed="false">
      <c r="A10" s="35" t="s">
        <v>176</v>
      </c>
      <c r="B10" s="35"/>
      <c r="C10" s="35"/>
      <c r="D10" s="36" t="s">
        <v>165</v>
      </c>
      <c r="E10" s="36"/>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row>
    <row r="11" customFormat="false" ht="9.75" hidden="false" customHeight="true" outlineLevel="0" collapsed="false">
      <c r="A11" s="37"/>
      <c r="B11" s="38"/>
      <c r="C11" s="39"/>
      <c r="D11" s="39"/>
      <c r="E11" s="40"/>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c r="IW11" s="32"/>
    </row>
    <row r="12" customFormat="false" ht="18" hidden="false" customHeight="false" outlineLevel="0" collapsed="false">
      <c r="A12" s="41" t="s">
        <v>177</v>
      </c>
      <c r="B12" s="42"/>
      <c r="C12" s="43" t="s">
        <v>178</v>
      </c>
      <c r="D12" s="43" t="s">
        <v>179</v>
      </c>
      <c r="E12" s="44" t="s">
        <v>180</v>
      </c>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c r="IW12" s="32"/>
    </row>
    <row r="13" customFormat="false" ht="331.8" hidden="false" customHeight="true" outlineLevel="0" collapsed="false">
      <c r="A13" s="45" t="s">
        <v>181</v>
      </c>
      <c r="B13" s="46"/>
      <c r="C13" s="46" t="str">
        <f aca="false">VLOOKUP($D$10,'MASTER-2'!$B$9:$T$215,2,0)</f>
        <v>Linear, energy-efficient continuous-row luminaire in silver with 64 highly efficient mid-power LEDs per segment. IP64 protection rating. Luminaire input power: 61.6 W, DALI controllable luminaire with LED converter. LED service life lasts 100000 h before luminous flux is reduced to 95% of the initial value. Chromaticity tolerance (initial MacAdam): 2. Luminaire efficacy: 169 lm/W. Luminaire luminous flux: 5200 lm/mtr. Luminaire with symmetric very wide distribution (very wide beam). Colour rendering Ra &gt; 80, colour temperature 4000 K. Split lens concept for reducing perceived glare. Overlapping lenses made of PMMA with high breakage resistance and UV resistance.  continuous row luminaire made of roll-formed, hot-dip galvanised sheet steel, with zinc-magnesium coating and polyester lacquer finish in silver. 100% flexible positioning of continuous row luminaires along the entire length of the continuous row. Tool-free mechanical and electrical installation on the mounting rail via two side levers. No ultraviolet or infrared radiation. Protection class: SC1. Permissible for use in environments where the deposition of conductive dust on the luminaire can be expected (EN 60598-2-24).</v>
      </c>
      <c r="D13" s="46" t="str">
        <f aca="false">VLOOKUP($D$10,'MASTER-2'!$B$9:$T$215,3,0)</f>
        <v>2 x 41W; 2 x 4580lm; 4000K; 112lm/w; surface / suspended mounted light fixture with aluminium body and polycarbonate diffuser with rated IP20;IK03; LED Dali Driver</v>
      </c>
      <c r="E13" s="47"/>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c r="IW13" s="32"/>
    </row>
    <row r="14" customFormat="false" ht="29.4" hidden="false" customHeight="true" outlineLevel="0" collapsed="false">
      <c r="A14" s="45" t="s">
        <v>3</v>
      </c>
      <c r="B14" s="48"/>
      <c r="C14" s="46" t="s">
        <v>182</v>
      </c>
      <c r="D14" s="46" t="str">
        <f aca="false">VLOOKUP($D$10,'MASTER-2'!$B$9:$T$215,4,0)</f>
        <v>Philips</v>
      </c>
      <c r="E14" s="47"/>
    </row>
    <row r="15" customFormat="false" ht="29.4" hidden="false" customHeight="true" outlineLevel="0" collapsed="false">
      <c r="A15" s="45" t="s">
        <v>4</v>
      </c>
      <c r="B15" s="48"/>
      <c r="C15" s="46" t="s">
        <v>182</v>
      </c>
      <c r="D15" s="46" t="str">
        <f aca="false">VLOOKUP($D$10,'MASTER-2'!$B$9:$T$215,5,0)</f>
        <v>China</v>
      </c>
      <c r="E15" s="47"/>
    </row>
    <row r="16" customFormat="false" ht="29.4" hidden="false" customHeight="true" outlineLevel="0" collapsed="false">
      <c r="A16" s="45" t="s">
        <v>5</v>
      </c>
      <c r="B16" s="48"/>
      <c r="C16" s="46" t="s">
        <v>182</v>
      </c>
      <c r="D16" s="46" t="str">
        <f aca="false">VLOOKUP($D$10,'MASTER-2'!$B$9:$T$215,6,0)</f>
        <v>2 x SP570P LED50/940 L150W6 SD PSD</v>
      </c>
      <c r="E16" s="47"/>
    </row>
    <row r="17" customFormat="false" ht="29.4" hidden="false" customHeight="true" outlineLevel="0" collapsed="false">
      <c r="A17" s="45" t="s">
        <v>6</v>
      </c>
      <c r="B17" s="48"/>
      <c r="C17" s="46" t="str">
        <f aca="false">VLOOKUP($D$10,'MASTER-2'!$B$9:$T$215,7,0)</f>
        <v>Surface / Suspended Mounted </v>
      </c>
      <c r="D17" s="46" t="str">
        <f aca="false">VLOOKUP($D$10,'MASTER-2'!$B$9:$T$215,7,0)</f>
        <v>Surface / Suspended Mounted </v>
      </c>
      <c r="E17" s="47"/>
    </row>
    <row r="18" customFormat="false" ht="29.4" hidden="false" customHeight="true" outlineLevel="0" collapsed="false">
      <c r="A18" s="45" t="s">
        <v>7</v>
      </c>
      <c r="B18" s="48"/>
      <c r="C18" s="46" t="s">
        <v>209</v>
      </c>
      <c r="D18" s="46" t="str">
        <f aca="false">VLOOKUP($D$10,'MASTER-2'!$B$9:$T$215,8,0)</f>
        <v>Aluminium body</v>
      </c>
      <c r="E18" s="47"/>
    </row>
    <row r="19" customFormat="false" ht="29.4" hidden="false" customHeight="true" outlineLevel="0" collapsed="false">
      <c r="A19" s="45" t="s">
        <v>8</v>
      </c>
      <c r="B19" s="48"/>
      <c r="C19" s="46" t="s">
        <v>210</v>
      </c>
      <c r="D19" s="46" t="str">
        <f aca="false">VLOOKUP($D$10,'MASTER-2'!$B$9:$T$215,9,0)</f>
        <v>polycarbonate diffuser</v>
      </c>
      <c r="E19" s="47"/>
    </row>
    <row r="20" customFormat="false" ht="29.4" hidden="false" customHeight="true" outlineLevel="0" collapsed="false">
      <c r="A20" s="45" t="s">
        <v>9</v>
      </c>
      <c r="B20" s="48"/>
      <c r="C20" s="46" t="s">
        <v>211</v>
      </c>
      <c r="D20" s="46" t="str">
        <f aca="false">VLOOKUP($D$10,'MASTER-2'!$B$9:$T$215,10,0)</f>
        <v>LED Driver</v>
      </c>
      <c r="E20" s="47"/>
    </row>
    <row r="21" customFormat="false" ht="29.4" hidden="false" customHeight="true" outlineLevel="0" collapsed="false">
      <c r="A21" s="45" t="s">
        <v>10</v>
      </c>
      <c r="B21" s="49"/>
      <c r="C21" s="46" t="s">
        <v>212</v>
      </c>
      <c r="D21" s="46" t="str">
        <f aca="false">VLOOKUP($D$10,'MASTER-2'!$B$9:$T$215,11,0)</f>
        <v>2 x 41w / 2 x 4580lm / 4000k / 112lm/w</v>
      </c>
      <c r="E21" s="47"/>
    </row>
    <row r="22" customFormat="false" ht="29.4" hidden="false" customHeight="true" outlineLevel="0" collapsed="false">
      <c r="A22" s="45" t="s">
        <v>11</v>
      </c>
      <c r="B22" s="50"/>
      <c r="C22" s="46" t="s">
        <v>182</v>
      </c>
      <c r="D22" s="46" t="str">
        <f aca="false">VLOOKUP($D$10,'MASTER-2'!$B$9:$T$215,12,0)</f>
        <v>ROP approved EM Kit / Tridonic, Austria</v>
      </c>
      <c r="E22" s="47"/>
    </row>
    <row r="23" customFormat="false" ht="29.4" hidden="false" customHeight="true" outlineLevel="0" collapsed="false">
      <c r="A23" s="45" t="s">
        <v>12</v>
      </c>
      <c r="B23" s="50"/>
      <c r="C23" s="46" t="s">
        <v>36</v>
      </c>
      <c r="D23" s="46" t="str">
        <f aca="false">VLOOKUP($D$10,'MASTER-2'!$B$9:$T$215,13,0)</f>
        <v>CRI 90</v>
      </c>
      <c r="E23" s="47"/>
    </row>
    <row r="24" customFormat="false" ht="29.4" hidden="false" customHeight="true" outlineLevel="0" collapsed="false">
      <c r="A24" s="45" t="s">
        <v>13</v>
      </c>
      <c r="B24" s="50"/>
      <c r="C24" s="46" t="s">
        <v>213</v>
      </c>
      <c r="D24" s="46" t="str">
        <f aca="false">VLOOKUP($D$10,'MASTER-2'!$B$9:$T$215,14,0)</f>
        <v>L70 / 50000Hrs</v>
      </c>
      <c r="E24" s="47"/>
    </row>
    <row r="25" customFormat="false" ht="29.4" hidden="false" customHeight="true" outlineLevel="0" collapsed="false">
      <c r="A25" s="45" t="s">
        <v>14</v>
      </c>
      <c r="B25" s="50"/>
      <c r="C25" s="46" t="s">
        <v>214</v>
      </c>
      <c r="D25" s="46" t="str">
        <f aca="false">VLOOKUP($D$10,'MASTER-2'!$B$9:$T$215,15,0)</f>
        <v>IP20 / IK03</v>
      </c>
      <c r="E25" s="47"/>
    </row>
    <row r="26" customFormat="false" ht="29.4" hidden="false" customHeight="true" outlineLevel="0" collapsed="false">
      <c r="A26" s="45" t="s">
        <v>15</v>
      </c>
      <c r="B26" s="50"/>
      <c r="C26" s="46" t="s">
        <v>182</v>
      </c>
      <c r="D26" s="46" t="n">
        <f aca="false">VLOOKUP($D$10,'MASTER-2'!$B$9:$T$215,16,0)</f>
        <v>19</v>
      </c>
      <c r="E26" s="47"/>
    </row>
    <row r="27" customFormat="false" ht="29.4" hidden="false" customHeight="true" outlineLevel="0" collapsed="false">
      <c r="A27" s="45" t="s">
        <v>16</v>
      </c>
      <c r="B27" s="50"/>
      <c r="C27" s="46" t="s">
        <v>215</v>
      </c>
      <c r="D27" s="46" t="str">
        <f aca="false">VLOOKUP($D$10,'MASTER-2'!$B$9:$T$215,17,0)</f>
        <v>-</v>
      </c>
      <c r="E27" s="47"/>
    </row>
    <row r="28" customFormat="false" ht="16.2" hidden="false" customHeight="false" outlineLevel="0" collapsed="false">
      <c r="A28" s="51" t="s">
        <v>18</v>
      </c>
      <c r="B28" s="52"/>
      <c r="C28" s="53"/>
      <c r="D28" s="53"/>
      <c r="E28" s="54"/>
    </row>
  </sheetData>
  <mergeCells count="9">
    <mergeCell ref="A1:E1"/>
    <mergeCell ref="B3:E3"/>
    <mergeCell ref="B4:E4"/>
    <mergeCell ref="B5:E5"/>
    <mergeCell ref="B6:E6"/>
    <mergeCell ref="A8:E8"/>
    <mergeCell ref="A10:C10"/>
    <mergeCell ref="D10:E10"/>
    <mergeCell ref="C28:D28"/>
  </mergeCells>
  <printOptions headings="false" gridLines="false" gridLinesSet="true" horizontalCentered="true" verticalCentered="false"/>
  <pageMargins left="0.559722222222222" right="0.320138888888889" top="1" bottom="1" header="0.511811023622047" footer="0.511811023622047"/>
  <pageSetup paperSize="1" scale="49"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2013-01-13T17:20:37Z</dcterms:created>
  <dc:creator>Aneesh</dc:creator>
  <dc:description/>
  <dc:language>en-US</dc:language>
  <cp:lastModifiedBy>Rochelle Lopez</cp:lastModifiedBy>
  <cp:lastPrinted>2026-06-30T11:19:59Z</cp:lastPrinted>
  <dcterms:modified xsi:type="dcterms:W3CDTF">2026-06-30T12:02:20Z</dcterms:modified>
  <cp:revision>0</cp:revision>
  <dc:subject/>
  <dc:title/>
</cp:coreProperties>
</file>